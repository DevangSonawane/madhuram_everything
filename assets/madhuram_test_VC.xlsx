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5"/>
  </sheets>
  <definedNames>
    <definedName name="Excel_BuiltIn_Print_Titles_5">#REF!</definedName>
    <definedName name="OLE_LINK3_2_3">#REF!</definedName>
    <definedName name="Excel_BuiltIn_Print_Titles_2_1">#REF!</definedName>
    <definedName name="Excel_BuiltIn_Print_Area_5_1">#REF!</definedName>
    <definedName name="Excel_BuiltIn_Print_Titles_4">#REF!</definedName>
    <definedName name="Excel_BuiltIn_Print_Area_4_1">#REF!</definedName>
    <definedName name="Excel_BuiltIn_Print_Area_2_1">#REF!</definedName>
    <definedName name="T">#REF!</definedName>
    <definedName name="OLE_LINK3_2">#REF!</definedName>
    <definedName name="OLE_LINK3_2_4">#REF!</definedName>
    <definedName name="Excel_BuiltIn_Print_Titles_5_1">#REF!</definedName>
  </definedNames>
  <calcPr/>
</workbook>
</file>

<file path=xl/sharedStrings.xml><?xml version="1.0" encoding="utf-8"?>
<sst xmlns="http://schemas.openxmlformats.org/spreadsheetml/2006/main" count="67" uniqueCount="42">
  <si>
    <t>Company Name:-</t>
  </si>
  <si>
    <t>Madhuram Enterprises</t>
  </si>
  <si>
    <t>Project Name:-</t>
  </si>
  <si>
    <t>Florencia B</t>
  </si>
  <si>
    <t>Indent No:-</t>
  </si>
  <si>
    <t>Indent Date:-</t>
  </si>
  <si>
    <t>Comparison Date:-</t>
  </si>
  <si>
    <t>AquaFlow Industries</t>
  </si>
  <si>
    <t>Prime Sanitary Solutions</t>
  </si>
  <si>
    <t>Metro Plumbing Supplies</t>
  </si>
  <si>
    <t>Elite Bathware</t>
  </si>
  <si>
    <t>HydroTech Traders</t>
  </si>
  <si>
    <t>Sr. No.</t>
  </si>
  <si>
    <t>HSN Code</t>
  </si>
  <si>
    <t>Item Description</t>
  </si>
  <si>
    <t>Qty</t>
  </si>
  <si>
    <t>UOM</t>
  </si>
  <si>
    <t>Rate</t>
  </si>
  <si>
    <t>Amount</t>
  </si>
  <si>
    <t>T,C&amp;H of Single Lever Sink Tap</t>
  </si>
  <si>
    <t>Nos</t>
  </si>
  <si>
    <t>T,C&amp;H of Single Lever Wall Mixer</t>
  </si>
  <si>
    <t>Fixing of Single Lever Sink Tap, Testing &amp; Commissioning complete with all necessary fittings and making good.</t>
  </si>
  <si>
    <t>Subtotal</t>
  </si>
  <si>
    <t>Discount</t>
  </si>
  <si>
    <t>Net Amount</t>
  </si>
  <si>
    <t>GST</t>
  </si>
  <si>
    <t>Total Value</t>
  </si>
  <si>
    <t>Delivery</t>
  </si>
  <si>
    <t>15 Days</t>
  </si>
  <si>
    <t>12 Days</t>
  </si>
  <si>
    <t>18 Days</t>
  </si>
  <si>
    <t>14 Days</t>
  </si>
  <si>
    <t>16 Days</t>
  </si>
  <si>
    <t>Payment</t>
  </si>
  <si>
    <t>30 Days</t>
  </si>
  <si>
    <t>45 Days</t>
  </si>
  <si>
    <t>Transportation</t>
  </si>
  <si>
    <t>Extra</t>
  </si>
  <si>
    <t>Included</t>
  </si>
  <si>
    <t>60 Days</t>
  </si>
  <si>
    <t xml:space="preserve">Transportation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</si>
</sst>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_(* #,##0.00_);_(* \(#,##0.00\);_(* \-??_);_(@_)"/>
    <numFmt numFmtId="166" formatCode="_ * #,##0.00_ ;_ * \-#,##0.00_ ;_ * &quot;-&quot;??_ ;_ @_ "/>
  </numFmts>
  <fonts count="4">
    <font>
      <sz val="11.0"/>
      <color rgb="FF000000"/>
      <name val="Calibri"/>
      <scheme val="minor"/>
    </font>
    <font>
      <b/>
      <sz val="11.0"/>
      <color theme="1"/>
      <name val="Cambria"/>
    </font>
    <font>
      <sz val="11.0"/>
      <color theme="1"/>
      <name val="Cambria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1" numFmtId="164" xfId="0" applyAlignment="1" applyFont="1" applyNumberFormat="1">
      <alignment horizontal="left" readingOrder="0" shrinkToFit="0" vertical="bottom" wrapText="1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165" xfId="0" applyAlignment="1" applyBorder="1" applyFont="1" applyNumberFormat="1">
      <alignment horizontal="center" readingOrder="0" shrinkToFit="0" vertical="center" wrapText="1"/>
    </xf>
    <xf borderId="1" fillId="2" fontId="2" numFmtId="166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2" fontId="2" numFmtId="166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shrinkToFit="0" vertical="bottom" wrapText="1"/>
    </xf>
    <xf borderId="1" fillId="2" fontId="2" numFmtId="165" xfId="0" applyAlignment="1" applyBorder="1" applyFont="1" applyNumberFormat="1">
      <alignment horizontal="center" shrinkToFit="0" vertical="bottom" wrapText="1"/>
    </xf>
    <xf borderId="1" fillId="2" fontId="2" numFmtId="9" xfId="0" applyAlignment="1" applyBorder="1" applyFont="1" applyNumberFormat="1">
      <alignment horizontal="center" readingOrder="0" shrinkToFit="0" vertical="center" wrapText="1"/>
    </xf>
    <xf borderId="1" fillId="2" fontId="2" numFmtId="165" xfId="0" applyAlignment="1" applyBorder="1" applyFont="1" applyNumberFormat="1">
      <alignment horizontal="center" readingOrder="0" shrinkToFit="0" vertical="bottom" wrapText="1"/>
    </xf>
    <xf borderId="1" fillId="3" fontId="1" numFmtId="165" xfId="0" applyAlignment="1" applyBorder="1" applyFill="1" applyFont="1" applyNumberFormat="1">
      <alignment horizontal="center" readingOrder="0" shrinkToFit="0" vertical="bottom" wrapText="1"/>
    </xf>
    <xf borderId="1" fillId="3" fontId="1" numFmtId="9" xfId="0" applyAlignment="1" applyBorder="1" applyFont="1" applyNumberForma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2" numFmtId="165" xfId="0" applyAlignment="1" applyBorder="1" applyFont="1" applyNumberFormat="1">
      <alignment shrinkToFit="0" vertical="center" wrapText="1"/>
    </xf>
    <xf borderId="1" fillId="2" fontId="1" numFmtId="165" xfId="0" applyAlignment="1" applyBorder="1" applyFont="1" applyNumberFormat="1">
      <alignment horizontal="center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2" numFmtId="165" xfId="0" applyAlignment="1" applyBorder="1" applyFont="1" applyNumberFormat="1">
      <alignment readingOrder="0" shrinkToFit="0" vertical="center" wrapText="1"/>
    </xf>
    <xf borderId="2" fillId="2" fontId="1" numFmtId="9" xfId="0" applyAlignment="1" applyBorder="1" applyFont="1" applyNumberFormat="1">
      <alignment horizontal="center" readingOrder="0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bottom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bottom" wrapText="1"/>
    </xf>
    <xf borderId="2" fillId="0" fontId="3" numFmtId="0" xfId="0" applyBorder="1" applyFont="1"/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shrinkToFit="0" vertical="center" wrapText="0"/>
    </xf>
    <xf borderId="1" fillId="0" fontId="2" numFmtId="166" xfId="0" applyAlignment="1" applyBorder="1" applyFont="1" applyNumberFormat="1">
      <alignment shrinkToFit="0" vertical="center" wrapText="0"/>
    </xf>
    <xf borderId="1" fillId="3" fontId="1" numFmtId="165" xfId="0" applyAlignment="1" applyBorder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1" fillId="0" fontId="1" numFmtId="9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1" fillId="0" fontId="1" numFmtId="166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14"/>
    <col customWidth="1" min="3" max="3" width="41.71"/>
    <col customWidth="1" min="4" max="4" width="9.14"/>
    <col customWidth="1" min="5" max="5" width="8.86"/>
    <col customWidth="1" min="6" max="6" width="10.71"/>
    <col customWidth="1" min="7" max="7" width="15.29"/>
    <col customWidth="1" min="8" max="8" width="12.29"/>
    <col customWidth="1" min="9" max="9" width="14.29"/>
    <col customWidth="1" min="10" max="10" width="10.71"/>
    <col customWidth="1" min="11" max="11" width="15.43"/>
    <col customWidth="1" min="12" max="12" width="11.86"/>
    <col customWidth="1" min="13" max="13" width="14.86"/>
    <col customWidth="1" min="14" max="14" width="8.86"/>
    <col customWidth="1" min="15" max="19" width="9.14"/>
    <col customWidth="1" min="20" max="21" width="8.86"/>
    <col customWidth="1" min="22" max="22" width="9.14"/>
    <col customWidth="1" min="23" max="26" width="8.0"/>
  </cols>
  <sheetData>
    <row r="1" ht="13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5" t="s">
        <v>2</v>
      </c>
      <c r="B2" s="5" t="s">
        <v>3</v>
      </c>
      <c r="C2" s="6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4</v>
      </c>
      <c r="B3" s="6"/>
      <c r="C3" s="6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5" t="s">
        <v>5</v>
      </c>
      <c r="B4" s="6"/>
      <c r="C4" s="6"/>
      <c r="D4" s="4"/>
      <c r="E4" s="4"/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5" t="s">
        <v>6</v>
      </c>
      <c r="B5" s="7">
        <v>46241.0</v>
      </c>
      <c r="C5" s="6"/>
      <c r="D5" s="4"/>
      <c r="E5" s="4"/>
      <c r="F5" s="4"/>
      <c r="G5" s="4"/>
      <c r="H5" s="4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4"/>
      <c r="B6" s="4"/>
      <c r="C6" s="8"/>
      <c r="D6" s="4"/>
      <c r="E6" s="4"/>
      <c r="F6" s="9" t="s">
        <v>7</v>
      </c>
      <c r="G6" s="10"/>
      <c r="H6" s="9" t="s">
        <v>8</v>
      </c>
      <c r="I6" s="10"/>
      <c r="J6" s="9" t="s">
        <v>9</v>
      </c>
      <c r="K6" s="10"/>
      <c r="L6" s="9" t="s">
        <v>10</v>
      </c>
      <c r="M6" s="10"/>
      <c r="N6" s="9" t="s">
        <v>11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1"/>
      <c r="B7" s="11"/>
      <c r="C7" s="11"/>
      <c r="I7" s="11"/>
      <c r="J7" s="11"/>
      <c r="K7" s="11"/>
      <c r="L7" s="11"/>
      <c r="M7" s="1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2" t="s">
        <v>12</v>
      </c>
      <c r="B8" s="12" t="s">
        <v>13</v>
      </c>
      <c r="C8" s="13" t="s">
        <v>14</v>
      </c>
      <c r="D8" s="14" t="s">
        <v>15</v>
      </c>
      <c r="E8" s="15" t="s">
        <v>16</v>
      </c>
      <c r="F8" s="16" t="s">
        <v>17</v>
      </c>
      <c r="G8" s="17" t="s">
        <v>18</v>
      </c>
      <c r="H8" s="16" t="s">
        <v>17</v>
      </c>
      <c r="I8" s="17" t="s">
        <v>18</v>
      </c>
      <c r="J8" s="16" t="s">
        <v>17</v>
      </c>
      <c r="K8" s="17" t="s">
        <v>18</v>
      </c>
      <c r="L8" s="16" t="s">
        <v>17</v>
      </c>
      <c r="M8" s="17" t="s">
        <v>18</v>
      </c>
      <c r="N8" s="2" t="s">
        <v>17</v>
      </c>
      <c r="O8" s="2" t="s">
        <v>18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5">
        <v>1.0</v>
      </c>
      <c r="B9" s="15">
        <v>8481.0</v>
      </c>
      <c r="C9" s="18" t="s">
        <v>19</v>
      </c>
      <c r="D9" s="15">
        <v>25.0</v>
      </c>
      <c r="E9" s="15" t="s">
        <v>20</v>
      </c>
      <c r="F9" s="19">
        <v>2850.0</v>
      </c>
      <c r="G9" s="19">
        <v>71250.0</v>
      </c>
      <c r="H9" s="19">
        <v>2795.0</v>
      </c>
      <c r="I9" s="20">
        <v>69875.0</v>
      </c>
      <c r="J9" s="19">
        <v>2910.0</v>
      </c>
      <c r="K9" s="20">
        <v>72750.0</v>
      </c>
      <c r="L9" s="19">
        <v>2765.0</v>
      </c>
      <c r="M9" s="20">
        <v>69125.0</v>
      </c>
      <c r="N9" s="2">
        <v>2885.0</v>
      </c>
      <c r="O9" s="2">
        <v>72125.0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5">
        <v>2.0</v>
      </c>
      <c r="B10" s="15">
        <v>8481.0</v>
      </c>
      <c r="C10" s="18" t="s">
        <v>21</v>
      </c>
      <c r="D10" s="15">
        <v>18.0</v>
      </c>
      <c r="E10" s="15" t="s">
        <v>20</v>
      </c>
      <c r="F10" s="19">
        <v>4250.0</v>
      </c>
      <c r="G10" s="19">
        <v>76500.0</v>
      </c>
      <c r="H10" s="19">
        <v>4180.0</v>
      </c>
      <c r="I10" s="20">
        <v>75240.0</v>
      </c>
      <c r="J10" s="19">
        <v>4315.0</v>
      </c>
      <c r="K10" s="20">
        <v>77670.0</v>
      </c>
      <c r="L10" s="19">
        <v>4155.0</v>
      </c>
      <c r="M10" s="20">
        <v>74790.0</v>
      </c>
      <c r="N10" s="2">
        <v>4275.0</v>
      </c>
      <c r="O10" s="2">
        <v>76950.0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5">
        <v>3.0</v>
      </c>
      <c r="B11" s="15">
        <v>9987.0</v>
      </c>
      <c r="C11" s="18" t="s">
        <v>22</v>
      </c>
      <c r="D11" s="15">
        <v>25.0</v>
      </c>
      <c r="E11" s="15" t="s">
        <v>20</v>
      </c>
      <c r="F11" s="19">
        <v>350.0</v>
      </c>
      <c r="G11" s="19">
        <v>8750.0</v>
      </c>
      <c r="H11" s="19">
        <v>340.0</v>
      </c>
      <c r="I11" s="20">
        <v>8500.0</v>
      </c>
      <c r="J11" s="19">
        <v>360.0</v>
      </c>
      <c r="K11" s="20">
        <v>9000.0</v>
      </c>
      <c r="L11" s="19">
        <v>345.0</v>
      </c>
      <c r="M11" s="20">
        <v>8625.0</v>
      </c>
      <c r="N11" s="2">
        <v>355.0</v>
      </c>
      <c r="O11" s="2">
        <v>8875.0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1"/>
      <c r="B12" s="21"/>
      <c r="C12" s="22"/>
      <c r="D12" s="21"/>
      <c r="E12" s="21"/>
      <c r="F12" s="23"/>
      <c r="G12" s="23"/>
      <c r="H12" s="23"/>
      <c r="I12" s="24"/>
      <c r="J12" s="23"/>
      <c r="K12" s="24"/>
      <c r="L12" s="23"/>
      <c r="M12" s="2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5" t="s">
        <v>23</v>
      </c>
      <c r="B13" s="21"/>
      <c r="C13" s="25"/>
      <c r="D13" s="21"/>
      <c r="E13" s="21"/>
      <c r="F13" s="26"/>
      <c r="G13" s="19">
        <v>156500.0</v>
      </c>
      <c r="H13" s="26"/>
      <c r="I13" s="20">
        <v>153615.0</v>
      </c>
      <c r="J13" s="26"/>
      <c r="K13" s="20">
        <v>159420.0</v>
      </c>
      <c r="L13" s="26"/>
      <c r="M13" s="20">
        <v>152540.0</v>
      </c>
      <c r="N13" s="3"/>
      <c r="O13" s="2">
        <v>157950.0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21"/>
      <c r="B14" s="21"/>
      <c r="C14" s="25"/>
      <c r="D14" s="21"/>
      <c r="E14" s="21"/>
      <c r="F14" s="26"/>
      <c r="G14" s="23"/>
      <c r="H14" s="26"/>
      <c r="I14" s="24"/>
      <c r="J14" s="26"/>
      <c r="K14" s="24"/>
      <c r="L14" s="26"/>
      <c r="M14" s="2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5" t="s">
        <v>24</v>
      </c>
      <c r="B15" s="21"/>
      <c r="C15" s="25"/>
      <c r="D15" s="21"/>
      <c r="E15" s="27">
        <v>0.08</v>
      </c>
      <c r="F15" s="28">
        <v>12520.0</v>
      </c>
      <c r="G15" s="27">
        <v>0.07</v>
      </c>
      <c r="H15" s="28">
        <v>10753.0</v>
      </c>
      <c r="I15" s="27">
        <v>0.09</v>
      </c>
      <c r="J15" s="29">
        <v>14348.0</v>
      </c>
      <c r="K15" s="30">
        <v>0.08</v>
      </c>
      <c r="L15" s="28">
        <v>12203.0</v>
      </c>
      <c r="M15" s="27">
        <v>0.07</v>
      </c>
      <c r="N15" s="2">
        <v>11057.0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25"/>
      <c r="B16" s="31"/>
      <c r="C16" s="32"/>
      <c r="D16" s="32"/>
      <c r="E16" s="33"/>
      <c r="F16" s="34"/>
      <c r="G16" s="35"/>
      <c r="H16" s="34"/>
      <c r="I16" s="35"/>
      <c r="J16" s="34"/>
      <c r="K16" s="35"/>
      <c r="L16" s="34"/>
      <c r="M16" s="3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6" t="s">
        <v>25</v>
      </c>
      <c r="B17" s="37"/>
      <c r="C17" s="37"/>
      <c r="D17" s="38"/>
      <c r="E17" s="38"/>
      <c r="F17" s="34"/>
      <c r="G17" s="39">
        <v>143980.0</v>
      </c>
      <c r="H17" s="34"/>
      <c r="I17" s="39">
        <v>142862.0</v>
      </c>
      <c r="J17" s="34"/>
      <c r="K17" s="39">
        <v>145072.0</v>
      </c>
      <c r="L17" s="34"/>
      <c r="M17" s="39">
        <v>140337.0</v>
      </c>
      <c r="N17" s="3"/>
      <c r="O17" s="2">
        <v>146893.0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25"/>
      <c r="B18" s="37"/>
      <c r="C18" s="37"/>
      <c r="D18" s="38"/>
      <c r="E18" s="38"/>
      <c r="F18" s="23"/>
      <c r="G18" s="23"/>
      <c r="H18" s="23"/>
      <c r="I18" s="23"/>
      <c r="J18" s="23"/>
      <c r="K18" s="23"/>
      <c r="L18" s="23"/>
      <c r="M18" s="2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6" t="s">
        <v>26</v>
      </c>
      <c r="B19" s="31"/>
      <c r="C19" s="32"/>
      <c r="D19" s="32"/>
      <c r="E19" s="40">
        <v>0.18</v>
      </c>
      <c r="F19" s="12">
        <v>25916.4</v>
      </c>
      <c r="G19" s="27">
        <v>0.18</v>
      </c>
      <c r="H19" s="12">
        <v>25715.16</v>
      </c>
      <c r="I19" s="27">
        <v>0.18</v>
      </c>
      <c r="J19" s="12">
        <v>26112.96</v>
      </c>
      <c r="K19" s="27">
        <v>0.18</v>
      </c>
      <c r="L19" s="12">
        <v>25260.66</v>
      </c>
      <c r="M19" s="27">
        <v>0.18</v>
      </c>
      <c r="N19" s="2">
        <v>26440.74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25"/>
      <c r="B20" s="37"/>
      <c r="C20" s="37"/>
      <c r="D20" s="38"/>
      <c r="E20" s="38"/>
      <c r="F20" s="41"/>
      <c r="G20" s="23"/>
      <c r="H20" s="41"/>
      <c r="I20" s="23"/>
      <c r="J20" s="41"/>
      <c r="K20" s="23"/>
      <c r="L20" s="41"/>
      <c r="M20" s="2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6" t="s">
        <v>27</v>
      </c>
      <c r="B21" s="37"/>
      <c r="C21" s="37"/>
      <c r="D21" s="38"/>
      <c r="E21" s="38"/>
      <c r="F21" s="23"/>
      <c r="G21" s="42">
        <v>169896.4</v>
      </c>
      <c r="H21" s="23"/>
      <c r="I21" s="42">
        <v>168577.16</v>
      </c>
      <c r="J21" s="23"/>
      <c r="K21" s="42">
        <v>171184.96</v>
      </c>
      <c r="L21" s="23"/>
      <c r="M21" s="42">
        <v>165597.66</v>
      </c>
      <c r="N21" s="3"/>
      <c r="O21" s="2">
        <v>173333.74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25"/>
      <c r="B22" s="37"/>
      <c r="C22" s="37"/>
      <c r="D22" s="38"/>
      <c r="E22" s="38"/>
      <c r="F22" s="23"/>
      <c r="G22" s="23"/>
      <c r="H22" s="23"/>
      <c r="I22" s="23"/>
      <c r="J22" s="23"/>
      <c r="K22" s="23"/>
      <c r="L22" s="23"/>
      <c r="M22" s="2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6" t="s">
        <v>28</v>
      </c>
      <c r="B23" s="38"/>
      <c r="C23" s="38"/>
      <c r="D23" s="43" t="s">
        <v>29</v>
      </c>
      <c r="E23" s="38"/>
      <c r="F23" s="12" t="s">
        <v>30</v>
      </c>
      <c r="G23" s="23"/>
      <c r="H23" s="12" t="s">
        <v>31</v>
      </c>
      <c r="I23" s="23"/>
      <c r="J23" s="12" t="s">
        <v>32</v>
      </c>
      <c r="K23" s="23"/>
      <c r="L23" s="12" t="s">
        <v>33</v>
      </c>
      <c r="M23" s="2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6" t="s">
        <v>34</v>
      </c>
      <c r="B24" s="38"/>
      <c r="C24" s="38"/>
      <c r="D24" s="43" t="s">
        <v>35</v>
      </c>
      <c r="E24" s="38"/>
      <c r="F24" s="19" t="s">
        <v>35</v>
      </c>
      <c r="G24" s="23"/>
      <c r="H24" s="19" t="s">
        <v>36</v>
      </c>
      <c r="I24" s="23"/>
      <c r="J24" s="19" t="s">
        <v>35</v>
      </c>
      <c r="K24" s="23"/>
      <c r="L24" s="19" t="s">
        <v>35</v>
      </c>
      <c r="M24" s="2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6" t="s">
        <v>37</v>
      </c>
      <c r="B25" s="44"/>
      <c r="C25" s="45"/>
      <c r="D25" s="43" t="s">
        <v>38</v>
      </c>
      <c r="E25" s="38"/>
      <c r="F25" s="19" t="s">
        <v>38</v>
      </c>
      <c r="G25" s="46"/>
      <c r="H25" s="19" t="s">
        <v>39</v>
      </c>
      <c r="I25" s="46"/>
      <c r="J25" s="19" t="s">
        <v>38</v>
      </c>
      <c r="K25" s="46"/>
      <c r="L25" s="19" t="s">
        <v>39</v>
      </c>
      <c r="M25" s="4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4"/>
      <c r="B26" s="47"/>
      <c r="C26" s="47"/>
      <c r="D26" s="47"/>
      <c r="E26" s="47"/>
      <c r="F26" s="48"/>
      <c r="G26" s="49"/>
      <c r="H26" s="48"/>
      <c r="I26" s="49"/>
      <c r="J26" s="48"/>
      <c r="K26" s="49"/>
      <c r="L26" s="48"/>
      <c r="M26" s="4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50" t="s">
        <v>28</v>
      </c>
      <c r="F27" s="51"/>
      <c r="G27" s="52"/>
      <c r="H27" s="51"/>
      <c r="I27" s="52"/>
      <c r="J27" s="51"/>
      <c r="K27" s="52"/>
      <c r="L27" s="51"/>
      <c r="M27" s="5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50" t="s">
        <v>34</v>
      </c>
      <c r="F28" s="51" t="s">
        <v>40</v>
      </c>
      <c r="G28" s="52"/>
      <c r="H28" s="51" t="s">
        <v>40</v>
      </c>
      <c r="I28" s="52"/>
      <c r="J28" s="51" t="s">
        <v>40</v>
      </c>
      <c r="K28" s="52"/>
      <c r="L28" s="51" t="s">
        <v>40</v>
      </c>
      <c r="M28" s="5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50" t="s">
        <v>41</v>
      </c>
      <c r="F29" s="51" t="s">
        <v>38</v>
      </c>
      <c r="G29" s="52"/>
      <c r="H29" s="51" t="s">
        <v>38</v>
      </c>
      <c r="I29" s="52"/>
      <c r="J29" s="51" t="s">
        <v>38</v>
      </c>
      <c r="K29" s="52"/>
      <c r="L29" s="51" t="s">
        <v>38</v>
      </c>
      <c r="M29" s="5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50"/>
      <c r="B30" s="50"/>
      <c r="C30" s="50"/>
      <c r="D30" s="50"/>
      <c r="E30" s="50"/>
      <c r="F30" s="49"/>
      <c r="G30" s="49"/>
      <c r="H30" s="49"/>
      <c r="I30" s="49"/>
      <c r="J30" s="49"/>
      <c r="K30" s="49"/>
      <c r="L30" s="49"/>
      <c r="M30" s="4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50"/>
      <c r="B31" s="50"/>
      <c r="C31" s="50"/>
      <c r="D31" s="50"/>
      <c r="E31" s="50"/>
      <c r="F31" s="49"/>
      <c r="G31" s="49"/>
      <c r="H31" s="49"/>
      <c r="I31" s="49"/>
      <c r="J31" s="49"/>
      <c r="K31" s="49"/>
      <c r="L31" s="49"/>
      <c r="M31" s="4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50"/>
      <c r="B32" s="50"/>
      <c r="C32" s="50"/>
      <c r="D32" s="50"/>
      <c r="E32" s="50"/>
      <c r="F32" s="49"/>
      <c r="G32" s="49"/>
      <c r="H32" s="49"/>
      <c r="I32" s="49"/>
      <c r="J32" s="49"/>
      <c r="K32" s="49"/>
      <c r="L32" s="49"/>
      <c r="M32" s="4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5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4"/>
      <c r="B39" s="4"/>
      <c r="C39" s="8"/>
      <c r="D39" s="4"/>
      <c r="E39" s="4"/>
      <c r="F39" s="54"/>
      <c r="G39" s="55"/>
      <c r="H39" s="54"/>
      <c r="I39" s="55"/>
      <c r="J39" s="54"/>
      <c r="K39" s="55"/>
      <c r="L39" s="54"/>
      <c r="M39" s="5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82.5" customHeight="1">
      <c r="A41" s="56"/>
      <c r="B41" s="57"/>
      <c r="C41" s="58"/>
      <c r="D41" s="57"/>
      <c r="E41" s="57"/>
      <c r="F41" s="59"/>
      <c r="G41" s="55"/>
      <c r="H41" s="59"/>
      <c r="I41" s="55"/>
      <c r="J41" s="59"/>
      <c r="K41" s="55"/>
      <c r="L41" s="59"/>
      <c r="M41" s="5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0" customHeight="1">
      <c r="A42" s="60"/>
      <c r="B42" s="57"/>
      <c r="C42" s="58"/>
      <c r="D42" s="61"/>
      <c r="E42" s="61"/>
      <c r="F42" s="62"/>
      <c r="G42" s="63"/>
      <c r="H42" s="62"/>
      <c r="I42" s="62"/>
      <c r="J42" s="62"/>
      <c r="K42" s="62"/>
      <c r="L42" s="64"/>
      <c r="M42" s="64"/>
      <c r="N42" s="6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1">
      <c r="A43" s="60"/>
      <c r="B43" s="57"/>
      <c r="C43" s="58"/>
      <c r="D43" s="61"/>
      <c r="E43" s="61"/>
      <c r="F43" s="62"/>
      <c r="G43" s="63"/>
      <c r="H43" s="62"/>
      <c r="I43" s="62"/>
      <c r="J43" s="62"/>
      <c r="K43" s="62"/>
      <c r="L43" s="64"/>
      <c r="M43" s="64"/>
      <c r="N43" s="6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1">
      <c r="A44" s="60"/>
      <c r="B44" s="57"/>
      <c r="C44" s="58"/>
      <c r="D44" s="61"/>
      <c r="E44" s="61"/>
      <c r="F44" s="62"/>
      <c r="G44" s="63"/>
      <c r="H44" s="62"/>
      <c r="I44" s="62"/>
      <c r="J44" s="62"/>
      <c r="K44" s="62"/>
      <c r="L44" s="62"/>
      <c r="M44" s="62"/>
      <c r="N44" s="6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1">
      <c r="A45" s="60"/>
      <c r="B45" s="57"/>
      <c r="C45" s="58"/>
      <c r="D45" s="61"/>
      <c r="E45" s="61"/>
      <c r="F45" s="62"/>
      <c r="G45" s="63"/>
      <c r="H45" s="62"/>
      <c r="I45" s="62"/>
      <c r="J45" s="62"/>
      <c r="K45" s="62"/>
      <c r="L45" s="62"/>
      <c r="M45" s="62"/>
      <c r="N45" s="6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60"/>
      <c r="B46" s="57"/>
      <c r="C46" s="58"/>
      <c r="D46" s="61"/>
      <c r="E46" s="61"/>
      <c r="F46" s="62"/>
      <c r="G46" s="63"/>
      <c r="H46" s="62"/>
      <c r="I46" s="62"/>
      <c r="J46" s="62"/>
      <c r="K46" s="62"/>
      <c r="L46" s="62"/>
      <c r="M46" s="62"/>
      <c r="N46" s="6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1">
      <c r="A47" s="60"/>
      <c r="B47" s="57"/>
      <c r="C47" s="58"/>
      <c r="D47" s="61"/>
      <c r="E47" s="61"/>
      <c r="F47" s="62"/>
      <c r="G47" s="63"/>
      <c r="H47" s="62"/>
      <c r="I47" s="62"/>
      <c r="J47" s="62"/>
      <c r="K47" s="62"/>
      <c r="L47" s="62"/>
      <c r="M47" s="62"/>
      <c r="N47" s="6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60"/>
      <c r="B48" s="57"/>
      <c r="C48" s="58"/>
      <c r="D48" s="61"/>
      <c r="E48" s="61"/>
      <c r="F48" s="62"/>
      <c r="G48" s="63"/>
      <c r="H48" s="62"/>
      <c r="I48" s="62"/>
      <c r="J48" s="62"/>
      <c r="K48" s="62"/>
      <c r="L48" s="62"/>
      <c r="M48" s="62"/>
      <c r="N48" s="6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0" customHeight="1">
      <c r="A49" s="60"/>
      <c r="B49" s="57"/>
      <c r="C49" s="58"/>
      <c r="D49" s="61"/>
      <c r="E49" s="61"/>
      <c r="F49" s="62"/>
      <c r="G49" s="63"/>
      <c r="H49" s="62"/>
      <c r="I49" s="62"/>
      <c r="J49" s="62"/>
      <c r="K49" s="62"/>
      <c r="L49" s="62"/>
      <c r="M49" s="62"/>
      <c r="N49" s="6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25"/>
      <c r="B50" s="31"/>
      <c r="C50" s="52"/>
      <c r="D50" s="52"/>
      <c r="E50" s="55"/>
      <c r="F50" s="34"/>
      <c r="G50" s="35"/>
      <c r="H50" s="57"/>
      <c r="I50" s="66"/>
      <c r="J50" s="57"/>
      <c r="K50" s="66"/>
      <c r="L50" s="57"/>
      <c r="M50" s="6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25"/>
      <c r="B51" s="37"/>
      <c r="C51" s="37"/>
      <c r="D51" s="38"/>
      <c r="E51" s="38"/>
      <c r="F51" s="34"/>
      <c r="G51" s="34"/>
      <c r="H51" s="57"/>
      <c r="I51" s="57"/>
      <c r="J51" s="57"/>
      <c r="K51" s="57"/>
      <c r="L51" s="57"/>
      <c r="M51" s="5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25"/>
      <c r="B52" s="37"/>
      <c r="C52" s="37"/>
      <c r="D52" s="38"/>
      <c r="E52" s="38"/>
      <c r="F52" s="23"/>
      <c r="G52" s="23"/>
      <c r="H52" s="57"/>
      <c r="I52" s="57"/>
      <c r="J52" s="57"/>
      <c r="K52" s="57"/>
      <c r="L52" s="57"/>
      <c r="M52" s="57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25"/>
      <c r="B53" s="31"/>
      <c r="C53" s="52"/>
      <c r="D53" s="52"/>
      <c r="E53" s="55"/>
      <c r="F53" s="41"/>
      <c r="G53" s="23"/>
      <c r="H53" s="67"/>
      <c r="I53" s="68"/>
      <c r="J53" s="67"/>
      <c r="K53" s="68"/>
      <c r="L53" s="67"/>
      <c r="M53" s="68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25"/>
      <c r="B54" s="37"/>
      <c r="C54" s="37"/>
      <c r="D54" s="38"/>
      <c r="E54" s="38"/>
      <c r="F54" s="41"/>
      <c r="G54" s="23"/>
      <c r="H54" s="57"/>
      <c r="I54" s="57"/>
      <c r="J54" s="57"/>
      <c r="K54" s="57"/>
      <c r="L54" s="57"/>
      <c r="M54" s="57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25"/>
      <c r="B55" s="37"/>
      <c r="C55" s="37"/>
      <c r="D55" s="38"/>
      <c r="E55" s="38"/>
      <c r="F55" s="23"/>
      <c r="G55" s="46"/>
      <c r="H55" s="57"/>
      <c r="I55" s="69"/>
      <c r="J55" s="57"/>
      <c r="K55" s="69"/>
      <c r="L55" s="57"/>
      <c r="M55" s="69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25"/>
      <c r="B56" s="37"/>
      <c r="C56" s="37"/>
      <c r="D56" s="38"/>
      <c r="E56" s="38"/>
      <c r="F56" s="23"/>
      <c r="G56" s="23"/>
      <c r="H56" s="57"/>
      <c r="I56" s="57"/>
      <c r="J56" s="57"/>
      <c r="K56" s="57"/>
      <c r="L56" s="57"/>
      <c r="M56" s="57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25"/>
      <c r="B57" s="38"/>
      <c r="C57" s="38"/>
      <c r="D57" s="38"/>
      <c r="E57" s="38"/>
      <c r="F57" s="41"/>
      <c r="G57" s="23"/>
      <c r="H57" s="41"/>
      <c r="I57" s="68"/>
      <c r="J57" s="41"/>
      <c r="K57" s="68"/>
      <c r="L57" s="41"/>
      <c r="M57" s="68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25"/>
      <c r="B58" s="38"/>
      <c r="C58" s="38"/>
      <c r="D58" s="38"/>
      <c r="E58" s="38"/>
      <c r="F58" s="23"/>
      <c r="G58" s="23"/>
      <c r="H58" s="57"/>
      <c r="I58" s="57"/>
      <c r="J58" s="57"/>
      <c r="K58" s="57"/>
      <c r="L58" s="57"/>
      <c r="M58" s="57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25"/>
      <c r="B59" s="44"/>
      <c r="C59" s="55"/>
      <c r="D59" s="38"/>
      <c r="E59" s="38"/>
      <c r="F59" s="23"/>
      <c r="G59" s="46"/>
      <c r="H59" s="57"/>
      <c r="I59" s="69"/>
      <c r="J59" s="57"/>
      <c r="K59" s="69"/>
      <c r="L59" s="57"/>
      <c r="M59" s="6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4"/>
      <c r="B60" s="47"/>
      <c r="C60" s="47"/>
      <c r="D60" s="47"/>
      <c r="E60" s="47"/>
      <c r="F60" s="48"/>
      <c r="G60" s="4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5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4"/>
      <c r="B67" s="4"/>
      <c r="C67" s="8"/>
      <c r="D67" s="4"/>
      <c r="E67" s="4"/>
      <c r="F67" s="54"/>
      <c r="G67" s="55"/>
      <c r="H67" s="54"/>
      <c r="I67" s="55"/>
      <c r="J67" s="54"/>
      <c r="K67" s="55"/>
      <c r="L67" s="54"/>
      <c r="M67" s="5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96.0" customHeight="1">
      <c r="A69" s="56"/>
      <c r="B69" s="57"/>
      <c r="C69" s="58"/>
      <c r="D69" s="57"/>
      <c r="E69" s="57"/>
      <c r="F69" s="59"/>
      <c r="G69" s="55"/>
      <c r="H69" s="59"/>
      <c r="I69" s="55"/>
      <c r="J69" s="59"/>
      <c r="K69" s="55"/>
      <c r="L69" s="59"/>
      <c r="M69" s="5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1.25" customHeight="1">
      <c r="A70" s="70"/>
      <c r="B70" s="57"/>
      <c r="C70" s="58"/>
      <c r="D70" s="70"/>
      <c r="E70" s="70"/>
      <c r="F70" s="71"/>
      <c r="G70" s="63"/>
      <c r="H70" s="62"/>
      <c r="I70" s="62"/>
      <c r="J70" s="62"/>
      <c r="K70" s="62"/>
      <c r="L70" s="62"/>
      <c r="M70" s="62"/>
      <c r="N70" s="3"/>
      <c r="O70" s="3">
        <v>4800.0</v>
      </c>
      <c r="P70" s="3">
        <f>O70-O70*40%</f>
        <v>2880</v>
      </c>
      <c r="Q70" s="3">
        <f>O70*15%</f>
        <v>720</v>
      </c>
      <c r="R70" s="3"/>
      <c r="S70" s="3">
        <f>P70+Q70</f>
        <v>3600</v>
      </c>
      <c r="T70" s="3"/>
      <c r="U70" s="3"/>
      <c r="V70" s="3">
        <f>O70*1.15</f>
        <v>5520</v>
      </c>
      <c r="W70" s="3"/>
      <c r="X70" s="3"/>
      <c r="Y70" s="3"/>
      <c r="Z70" s="3"/>
    </row>
    <row r="71" ht="41.25" customHeight="1">
      <c r="A71" s="70"/>
      <c r="B71" s="57"/>
      <c r="C71" s="58"/>
      <c r="D71" s="70"/>
      <c r="E71" s="70"/>
      <c r="F71" s="71"/>
      <c r="G71" s="63"/>
      <c r="H71" s="62"/>
      <c r="I71" s="62"/>
      <c r="J71" s="62"/>
      <c r="K71" s="62"/>
      <c r="L71" s="62"/>
      <c r="M71" s="62"/>
      <c r="N71" s="3"/>
      <c r="O71" s="3">
        <v>7500.0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54.75" customHeight="1">
      <c r="A72" s="70"/>
      <c r="B72" s="57"/>
      <c r="C72" s="58"/>
      <c r="D72" s="70"/>
      <c r="E72" s="70"/>
      <c r="F72" s="71"/>
      <c r="G72" s="63"/>
      <c r="H72" s="62"/>
      <c r="I72" s="62"/>
      <c r="J72" s="62"/>
      <c r="K72" s="62"/>
      <c r="L72" s="62"/>
      <c r="M72" s="6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1.25" customHeight="1">
      <c r="A73" s="70"/>
      <c r="B73" s="57"/>
      <c r="C73" s="58"/>
      <c r="D73" s="70"/>
      <c r="E73" s="70"/>
      <c r="F73" s="71"/>
      <c r="G73" s="63"/>
      <c r="H73" s="62"/>
      <c r="I73" s="62"/>
      <c r="J73" s="62"/>
      <c r="K73" s="62"/>
      <c r="L73" s="62"/>
      <c r="M73" s="62"/>
      <c r="N73" s="3"/>
      <c r="O73" s="3"/>
      <c r="P73" s="3"/>
      <c r="Q73" s="3"/>
      <c r="R73" s="3">
        <v>6000.0</v>
      </c>
      <c r="S73" s="3">
        <f>R73-R73*40%</f>
        <v>3600</v>
      </c>
      <c r="T73" s="3"/>
      <c r="U73" s="3"/>
      <c r="V73" s="3"/>
      <c r="W73" s="3"/>
      <c r="X73" s="3"/>
      <c r="Y73" s="3"/>
      <c r="Z73" s="3"/>
    </row>
    <row r="74" ht="41.25" customHeight="1">
      <c r="A74" s="70"/>
      <c r="B74" s="57"/>
      <c r="C74" s="58"/>
      <c r="D74" s="70"/>
      <c r="E74" s="70"/>
      <c r="F74" s="71"/>
      <c r="G74" s="63"/>
      <c r="H74" s="62"/>
      <c r="I74" s="62"/>
      <c r="J74" s="62"/>
      <c r="K74" s="62"/>
      <c r="L74" s="62"/>
      <c r="M74" s="6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25"/>
      <c r="B75" s="31"/>
      <c r="C75" s="52"/>
      <c r="D75" s="52"/>
      <c r="E75" s="55"/>
      <c r="F75" s="34"/>
      <c r="G75" s="35"/>
      <c r="H75" s="57"/>
      <c r="I75" s="35"/>
      <c r="J75" s="57"/>
      <c r="K75" s="35"/>
      <c r="L75" s="57"/>
      <c r="M75" s="3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25"/>
      <c r="B76" s="37"/>
      <c r="C76" s="37"/>
      <c r="D76" s="38"/>
      <c r="E76" s="38"/>
      <c r="F76" s="34"/>
      <c r="G76" s="34"/>
      <c r="H76" s="57"/>
      <c r="I76" s="57"/>
      <c r="J76" s="57"/>
      <c r="K76" s="57"/>
      <c r="L76" s="57"/>
      <c r="M76" s="57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25"/>
      <c r="B77" s="37"/>
      <c r="C77" s="37"/>
      <c r="D77" s="38"/>
      <c r="E77" s="38"/>
      <c r="F77" s="23"/>
      <c r="G77" s="23"/>
      <c r="H77" s="57"/>
      <c r="I77" s="57"/>
      <c r="J77" s="57"/>
      <c r="K77" s="57"/>
      <c r="L77" s="57"/>
      <c r="M77" s="57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25"/>
      <c r="B78" s="31"/>
      <c r="C78" s="52"/>
      <c r="D78" s="52"/>
      <c r="E78" s="55"/>
      <c r="F78" s="41"/>
      <c r="G78" s="23"/>
      <c r="H78" s="67"/>
      <c r="I78" s="68"/>
      <c r="J78" s="67"/>
      <c r="K78" s="68"/>
      <c r="L78" s="67"/>
      <c r="M78" s="68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25"/>
      <c r="B79" s="37"/>
      <c r="C79" s="37"/>
      <c r="D79" s="38"/>
      <c r="E79" s="38"/>
      <c r="F79" s="41"/>
      <c r="G79" s="23"/>
      <c r="H79" s="57"/>
      <c r="I79" s="57"/>
      <c r="J79" s="57"/>
      <c r="K79" s="57"/>
      <c r="L79" s="57"/>
      <c r="M79" s="57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25"/>
      <c r="B80" s="37"/>
      <c r="C80" s="37"/>
      <c r="D80" s="38"/>
      <c r="E80" s="38"/>
      <c r="F80" s="23"/>
      <c r="G80" s="46"/>
      <c r="H80" s="57"/>
      <c r="I80" s="69"/>
      <c r="J80" s="57"/>
      <c r="K80" s="69"/>
      <c r="L80" s="57"/>
      <c r="M80" s="69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25"/>
      <c r="B81" s="37"/>
      <c r="C81" s="37"/>
      <c r="D81" s="38"/>
      <c r="E81" s="38"/>
      <c r="F81" s="23"/>
      <c r="G81" s="23"/>
      <c r="H81" s="57"/>
      <c r="I81" s="57"/>
      <c r="J81" s="57"/>
      <c r="K81" s="57"/>
      <c r="L81" s="57"/>
      <c r="M81" s="5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25"/>
      <c r="B82" s="38"/>
      <c r="C82" s="38"/>
      <c r="D82" s="38"/>
      <c r="E82" s="38"/>
      <c r="F82" s="41"/>
      <c r="G82" s="23"/>
      <c r="H82" s="41"/>
      <c r="I82" s="68"/>
      <c r="J82" s="41"/>
      <c r="K82" s="68"/>
      <c r="L82" s="41"/>
      <c r="M82" s="68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25"/>
      <c r="B83" s="38"/>
      <c r="C83" s="38"/>
      <c r="D83" s="38"/>
      <c r="E83" s="38"/>
      <c r="F83" s="23"/>
      <c r="G83" s="23"/>
      <c r="H83" s="57"/>
      <c r="I83" s="57"/>
      <c r="J83" s="57"/>
      <c r="K83" s="57"/>
      <c r="L83" s="57"/>
      <c r="M83" s="57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25"/>
      <c r="B84" s="44"/>
      <c r="C84" s="55"/>
      <c r="D84" s="38"/>
      <c r="E84" s="38"/>
      <c r="F84" s="23"/>
      <c r="G84" s="46"/>
      <c r="H84" s="57"/>
      <c r="I84" s="69"/>
      <c r="J84" s="57"/>
      <c r="K84" s="69"/>
      <c r="L84" s="57"/>
      <c r="M84" s="69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4"/>
      <c r="B85" s="47"/>
      <c r="C85" s="47"/>
      <c r="D85" s="47"/>
      <c r="E85" s="47"/>
      <c r="F85" s="48"/>
      <c r="G85" s="4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5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4"/>
      <c r="B92" s="4"/>
      <c r="C92" s="8"/>
      <c r="D92" s="4"/>
      <c r="E92" s="4"/>
      <c r="F92" s="54"/>
      <c r="G92" s="55"/>
      <c r="H92" s="54"/>
      <c r="I92" s="55"/>
      <c r="J92" s="54"/>
      <c r="K92" s="5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82.5" customHeight="1">
      <c r="A94" s="56"/>
      <c r="B94" s="57"/>
      <c r="C94" s="72"/>
      <c r="D94" s="57"/>
      <c r="E94" s="57"/>
      <c r="F94" s="59"/>
      <c r="G94" s="55"/>
      <c r="H94" s="59"/>
      <c r="I94" s="55"/>
      <c r="J94" s="59"/>
      <c r="K94" s="5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0"/>
      <c r="B95" s="57"/>
      <c r="C95" s="58"/>
      <c r="D95" s="70"/>
      <c r="E95" s="70"/>
      <c r="F95" s="71"/>
      <c r="G95" s="63"/>
      <c r="H95" s="71"/>
      <c r="I95" s="63"/>
      <c r="J95" s="71"/>
      <c r="K95" s="6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0"/>
      <c r="B96" s="57"/>
      <c r="C96" s="58"/>
      <c r="D96" s="70"/>
      <c r="E96" s="70"/>
      <c r="F96" s="71"/>
      <c r="G96" s="63"/>
      <c r="H96" s="71"/>
      <c r="I96" s="63"/>
      <c r="J96" s="71"/>
      <c r="K96" s="6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70"/>
      <c r="B97" s="57"/>
      <c r="C97" s="58"/>
      <c r="D97" s="70"/>
      <c r="E97" s="70"/>
      <c r="F97" s="71"/>
      <c r="G97" s="63"/>
      <c r="H97" s="71"/>
      <c r="I97" s="63"/>
      <c r="J97" s="71"/>
      <c r="K97" s="6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70"/>
      <c r="B98" s="57"/>
      <c r="C98" s="58"/>
      <c r="D98" s="70"/>
      <c r="E98" s="70"/>
      <c r="F98" s="71"/>
      <c r="G98" s="63"/>
      <c r="H98" s="71"/>
      <c r="I98" s="63"/>
      <c r="J98" s="71"/>
      <c r="K98" s="6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25"/>
      <c r="B99" s="31"/>
      <c r="C99" s="52"/>
      <c r="D99" s="52"/>
      <c r="E99" s="55"/>
      <c r="F99" s="34"/>
      <c r="G99" s="35"/>
      <c r="H99" s="34"/>
      <c r="I99" s="35"/>
      <c r="J99" s="34"/>
      <c r="K99" s="3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25"/>
      <c r="B100" s="37"/>
      <c r="C100" s="37"/>
      <c r="D100" s="38"/>
      <c r="E100" s="38"/>
      <c r="F100" s="34"/>
      <c r="G100" s="34"/>
      <c r="H100" s="34"/>
      <c r="I100" s="34"/>
      <c r="J100" s="34"/>
      <c r="K100" s="3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5"/>
      <c r="B101" s="37"/>
      <c r="C101" s="37"/>
      <c r="D101" s="38"/>
      <c r="E101" s="38"/>
      <c r="F101" s="23"/>
      <c r="G101" s="23"/>
      <c r="H101" s="23"/>
      <c r="I101" s="23"/>
      <c r="J101" s="23"/>
      <c r="K101" s="2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25"/>
      <c r="B102" s="31"/>
      <c r="C102" s="52"/>
      <c r="D102" s="52"/>
      <c r="E102" s="55"/>
      <c r="F102" s="41"/>
      <c r="G102" s="23"/>
      <c r="H102" s="41"/>
      <c r="I102" s="23"/>
      <c r="J102" s="41"/>
      <c r="K102" s="2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5"/>
      <c r="B103" s="37"/>
      <c r="C103" s="37"/>
      <c r="D103" s="38"/>
      <c r="E103" s="38"/>
      <c r="F103" s="41"/>
      <c r="G103" s="23"/>
      <c r="H103" s="41"/>
      <c r="I103" s="23"/>
      <c r="J103" s="41"/>
      <c r="K103" s="2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5"/>
      <c r="B104" s="37"/>
      <c r="C104" s="37"/>
      <c r="D104" s="38"/>
      <c r="E104" s="38"/>
      <c r="F104" s="23"/>
      <c r="G104" s="46"/>
      <c r="H104" s="23"/>
      <c r="I104" s="46"/>
      <c r="J104" s="23"/>
      <c r="K104" s="4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5"/>
      <c r="B105" s="37"/>
      <c r="C105" s="37"/>
      <c r="D105" s="38"/>
      <c r="E105" s="38"/>
      <c r="F105" s="23"/>
      <c r="G105" s="23"/>
      <c r="H105" s="23"/>
      <c r="I105" s="23"/>
      <c r="J105" s="23"/>
      <c r="K105" s="2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5"/>
      <c r="B106" s="38"/>
      <c r="C106" s="38"/>
      <c r="D106" s="38"/>
      <c r="E106" s="38"/>
      <c r="F106" s="41"/>
      <c r="G106" s="23"/>
      <c r="H106" s="41"/>
      <c r="I106" s="23"/>
      <c r="J106" s="41"/>
      <c r="K106" s="2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5"/>
      <c r="B107" s="38"/>
      <c r="C107" s="38"/>
      <c r="D107" s="38"/>
      <c r="E107" s="38"/>
      <c r="F107" s="23"/>
      <c r="G107" s="23"/>
      <c r="H107" s="23"/>
      <c r="I107" s="23"/>
      <c r="J107" s="23"/>
      <c r="K107" s="2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5"/>
      <c r="B108" s="44"/>
      <c r="C108" s="55"/>
      <c r="D108" s="38"/>
      <c r="E108" s="38"/>
      <c r="F108" s="23"/>
      <c r="G108" s="46"/>
      <c r="H108" s="23"/>
      <c r="I108" s="46"/>
      <c r="J108" s="23"/>
      <c r="K108" s="4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4"/>
      <c r="B109" s="47"/>
      <c r="C109" s="47"/>
      <c r="D109" s="47"/>
      <c r="E109" s="47"/>
      <c r="F109" s="48"/>
      <c r="G109" s="49"/>
      <c r="H109" s="48"/>
      <c r="I109" s="49"/>
      <c r="J109" s="48"/>
      <c r="K109" s="4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8">
    <mergeCell ref="A27:E27"/>
    <mergeCell ref="F27:G27"/>
    <mergeCell ref="H27:I27"/>
    <mergeCell ref="J27:K27"/>
    <mergeCell ref="L27:M27"/>
    <mergeCell ref="A28:E28"/>
    <mergeCell ref="F28:G28"/>
    <mergeCell ref="H28:I28"/>
    <mergeCell ref="A35:C35"/>
    <mergeCell ref="A36:C36"/>
    <mergeCell ref="A37:C37"/>
    <mergeCell ref="A38:C38"/>
    <mergeCell ref="F39:G39"/>
    <mergeCell ref="B50:E50"/>
    <mergeCell ref="B53:E53"/>
    <mergeCell ref="B59:C59"/>
    <mergeCell ref="A63:C63"/>
    <mergeCell ref="A64:C64"/>
    <mergeCell ref="A65:C65"/>
    <mergeCell ref="A66:C66"/>
    <mergeCell ref="F92:G92"/>
    <mergeCell ref="H92:I92"/>
    <mergeCell ref="J92:K92"/>
    <mergeCell ref="F94:G94"/>
    <mergeCell ref="H94:I94"/>
    <mergeCell ref="J94:K94"/>
    <mergeCell ref="B99:E99"/>
    <mergeCell ref="B102:E102"/>
    <mergeCell ref="B108:C108"/>
    <mergeCell ref="B75:E75"/>
    <mergeCell ref="B78:E78"/>
    <mergeCell ref="B84:C84"/>
    <mergeCell ref="A88:C88"/>
    <mergeCell ref="A89:C89"/>
    <mergeCell ref="A90:C90"/>
    <mergeCell ref="A91:C91"/>
    <mergeCell ref="J28:K28"/>
    <mergeCell ref="L28:M28"/>
    <mergeCell ref="A29:E29"/>
    <mergeCell ref="F29:G29"/>
    <mergeCell ref="H29:I29"/>
    <mergeCell ref="J29:K29"/>
    <mergeCell ref="L29:M29"/>
    <mergeCell ref="H39:I39"/>
    <mergeCell ref="J39:K39"/>
    <mergeCell ref="L39:M39"/>
    <mergeCell ref="F41:G41"/>
    <mergeCell ref="H41:I41"/>
    <mergeCell ref="J41:K41"/>
    <mergeCell ref="L41:M41"/>
    <mergeCell ref="F67:G67"/>
    <mergeCell ref="H67:I67"/>
    <mergeCell ref="J67:K67"/>
    <mergeCell ref="L67:M67"/>
    <mergeCell ref="F69:G69"/>
    <mergeCell ref="H69:I69"/>
    <mergeCell ref="J69:K69"/>
    <mergeCell ref="L69:M69"/>
  </mergeCells>
  <printOptions/>
  <pageMargins bottom="0.75" footer="0.0" header="0.0" left="0.7" right="0.7" top="0.75"/>
  <pageSetup orientation="landscape"/>
  <drawing r:id="rId1"/>
</worksheet>
</file>