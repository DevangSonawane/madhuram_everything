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1AECA96A-962F-4422-A27D-E8610E0F5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G2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O12" i="1"/>
  <c r="M12" i="1"/>
  <c r="K12" i="1"/>
  <c r="O11" i="1"/>
  <c r="M11" i="1"/>
  <c r="K11" i="1"/>
  <c r="K29" i="1" s="1"/>
  <c r="O10" i="1"/>
  <c r="M10" i="1"/>
  <c r="K10" i="1"/>
  <c r="I10" i="1"/>
  <c r="G10" i="1"/>
  <c r="I29" i="1" l="1"/>
  <c r="I30" i="1" s="1"/>
  <c r="I31" i="1" s="1"/>
  <c r="M29" i="1"/>
  <c r="M30" i="1" s="1"/>
  <c r="M31" i="1" s="1"/>
  <c r="O29" i="1"/>
  <c r="O30" i="1"/>
  <c r="O31" i="1" s="1"/>
  <c r="K30" i="1"/>
  <c r="K31" i="1" s="1"/>
  <c r="G30" i="1"/>
  <c r="G31" i="1" s="1"/>
  <c r="I32" i="1" l="1"/>
  <c r="I33" i="1" s="1"/>
  <c r="M32" i="1"/>
  <c r="M33" i="1" s="1"/>
  <c r="K32" i="1"/>
  <c r="K33" i="1" s="1"/>
  <c r="O32" i="1"/>
  <c r="O33" i="1" s="1"/>
  <c r="G32" i="1"/>
  <c r="G33" i="1" s="1"/>
</calcChain>
</file>

<file path=xl/sharedStrings.xml><?xml version="1.0" encoding="utf-8"?>
<sst xmlns="http://schemas.openxmlformats.org/spreadsheetml/2006/main" count="82" uniqueCount="55">
  <si>
    <t>Company Name:</t>
  </si>
  <si>
    <t>Madhuram Enterprises</t>
  </si>
  <si>
    <t>Project Name:</t>
  </si>
  <si>
    <t>Indent No:</t>
  </si>
  <si>
    <t>Indent Date:</t>
  </si>
  <si>
    <t>Comparison Date:</t>
  </si>
  <si>
    <t>2026-08-07</t>
  </si>
  <si>
    <t>AquaFlow Industries</t>
  </si>
  <si>
    <t>Sr. No.</t>
  </si>
  <si>
    <t>HSN Code</t>
  </si>
  <si>
    <t>Item Description</t>
  </si>
  <si>
    <t>Qty</t>
  </si>
  <si>
    <t>UOM</t>
  </si>
  <si>
    <t>Rate</t>
  </si>
  <si>
    <t>Amount</t>
  </si>
  <si>
    <t>Subtotal</t>
  </si>
  <si>
    <t>Discount</t>
  </si>
  <si>
    <t>Net Amount</t>
  </si>
  <si>
    <t>GST</t>
  </si>
  <si>
    <t>Total Value</t>
  </si>
  <si>
    <t>Delivery</t>
  </si>
  <si>
    <t>Payment</t>
  </si>
  <si>
    <t>Transportation</t>
  </si>
  <si>
    <t>- Pro. CPVC pipe with fitting 15mm Ø</t>
  </si>
  <si>
    <t>cpvc tee 20x15mm</t>
  </si>
  <si>
    <t>cpvc reducer 20x15mm</t>
  </si>
  <si>
    <t>cpvc tee 15mm</t>
  </si>
  <si>
    <t>cpvc end cap 20mm</t>
  </si>
  <si>
    <t>cpvc end cap 15mm</t>
  </si>
  <si>
    <t>cpvc elbow 90 deg 20mm</t>
  </si>
  <si>
    <t>cpvc elbow 90 deg 15mm</t>
  </si>
  <si>
    <t>cpvc elbow 45 deg 15mm</t>
  </si>
  <si>
    <t>cpvc br fta elbow 15mm</t>
  </si>
  <si>
    <t>cpvc br mta elbow 15mm</t>
  </si>
  <si>
    <t>cpvc elbow 45 deg 20mm</t>
  </si>
  <si>
    <t>cpvc coupling 15mm</t>
  </si>
  <si>
    <t>cpvc coupling 20mm</t>
  </si>
  <si>
    <t>pvc plug</t>
  </si>
  <si>
    <t>cpcv solvent 247ml</t>
  </si>
  <si>
    <t>294</t>
  </si>
  <si>
    <t>21</t>
  </si>
  <si>
    <t>42</t>
  </si>
  <si>
    <t>63</t>
  </si>
  <si>
    <t>210</t>
  </si>
  <si>
    <t>147</t>
  </si>
  <si>
    <t>84</t>
  </si>
  <si>
    <t>1050</t>
  </si>
  <si>
    <t>525</t>
  </si>
  <si>
    <t>5250</t>
  </si>
  <si>
    <t>Mtr</t>
  </si>
  <si>
    <t>mtr</t>
  </si>
  <si>
    <t>nos</t>
  </si>
  <si>
    <t>jr</t>
  </si>
  <si>
    <t xml:space="preserve">pr </t>
  </si>
  <si>
    <t>janata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</si>
</sst>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1"/>
      <name val="Calibri"/>
    </font>
    <font>
      <sz val="11"/>
      <color rgb="FF0F273D"/>
      <name val="Ui-sans-serif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/>
    <xf numFmtId="4" fontId="1" fillId="5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/>
    <xf numFmtId="4" fontId="6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" fillId="4" borderId="2" xfId="0" applyFont="1" applyFill="1" applyBorder="1" applyAlignment="1">
      <alignment horizontal="left" vertical="center" wrapText="1"/>
    </xf>
    <xf numFmtId="0" fontId="4" fillId="0" borderId="4" xfId="0" applyFont="1" applyBorder="1"/>
    <xf numFmtId="0" fontId="5" fillId="0" borderId="0" xfId="0" applyFont="1" applyFill="1"/>
    <xf numFmtId="4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5"/>
  <sheetViews>
    <sheetView tabSelected="1" workbookViewId="0">
      <pane xSplit="5" ySplit="8" topLeftCell="F18" activePane="bottomRight" state="frozen"/>
      <selection pane="topRight" activeCell="F1" sqref="F1"/>
      <selection pane="bottomLeft" activeCell="A9" sqref="A9"/>
      <selection pane="bottomRight" activeCell="K28" sqref="K28"/>
    </sheetView>
  </sheetViews>
  <sheetFormatPr defaultColWidth="14.44140625" defaultRowHeight="15" customHeight="1"/>
  <cols>
    <col min="1" max="1" width="12.5546875" customWidth="1"/>
    <col min="2" max="2" width="22" customWidth="1"/>
    <col min="3" max="3" width="46.6640625" customWidth="1"/>
    <col min="4" max="5" width="8" customWidth="1"/>
    <col min="6" max="6" width="12" customWidth="1"/>
    <col min="7" max="7" width="13" customWidth="1"/>
    <col min="8" max="8" width="12" customWidth="1"/>
    <col min="9" max="9" width="13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3" customWidth="1"/>
  </cols>
  <sheetData>
    <row r="1" spans="1:15" ht="14.4">
      <c r="A1" s="1" t="s">
        <v>0</v>
      </c>
      <c r="B1" s="2" t="s">
        <v>1</v>
      </c>
    </row>
    <row r="2" spans="1:15" ht="14.4">
      <c r="A2" s="1" t="s">
        <v>2</v>
      </c>
      <c r="B2" s="2" t="s">
        <v>52</v>
      </c>
    </row>
    <row r="3" spans="1:15" ht="14.4">
      <c r="A3" s="1" t="s">
        <v>3</v>
      </c>
      <c r="B3" s="2" t="s">
        <v>53</v>
      </c>
    </row>
    <row r="4" spans="1:15" ht="14.4">
      <c r="A4" s="1" t="s">
        <v>4</v>
      </c>
      <c r="B4" s="2"/>
    </row>
    <row r="5" spans="1:15" ht="14.4">
      <c r="A5" s="1" t="s">
        <v>5</v>
      </c>
      <c r="B5" s="2" t="s">
        <v>6</v>
      </c>
    </row>
    <row r="7" spans="1:15" ht="15" customHeight="1">
      <c r="A7" s="3"/>
      <c r="B7" s="3"/>
      <c r="C7" s="3"/>
      <c r="D7" s="3"/>
      <c r="E7" s="3"/>
      <c r="F7" s="21" t="s">
        <v>7</v>
      </c>
      <c r="G7" s="22"/>
      <c r="H7" s="21" t="s">
        <v>54</v>
      </c>
      <c r="I7" s="22"/>
      <c r="J7" s="21"/>
      <c r="K7" s="22"/>
      <c r="L7" s="21"/>
      <c r="M7" s="22"/>
      <c r="N7" s="21"/>
      <c r="O7" s="22"/>
    </row>
    <row r="8" spans="1:15" ht="14.4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13</v>
      </c>
      <c r="I8" s="4" t="s">
        <v>14</v>
      </c>
      <c r="J8" s="4" t="s">
        <v>13</v>
      </c>
      <c r="K8" s="4" t="s">
        <v>14</v>
      </c>
      <c r="L8" s="4" t="s">
        <v>13</v>
      </c>
      <c r="M8" s="4" t="s">
        <v>14</v>
      </c>
      <c r="N8" s="4" t="s">
        <v>13</v>
      </c>
      <c r="O8" s="4" t="s">
        <v>14</v>
      </c>
    </row>
    <row r="9" spans="1:15" ht="23.25" customHeight="1">
      <c r="A9" s="5"/>
      <c r="B9" s="6"/>
      <c r="C9" s="23"/>
      <c r="D9" s="24"/>
      <c r="E9" s="22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4.4">
      <c r="A10" s="7"/>
      <c r="B10" s="8"/>
      <c r="C10" t="s">
        <v>23</v>
      </c>
      <c r="D10" t="s">
        <v>39</v>
      </c>
      <c r="E10" t="s">
        <v>49</v>
      </c>
      <c r="F10" s="9">
        <v>200</v>
      </c>
      <c r="G10" s="9">
        <f t="shared" ref="G10:G26" si="0">F10*$D10</f>
        <v>58800</v>
      </c>
      <c r="H10" s="9">
        <v>450</v>
      </c>
      <c r="I10" s="9">
        <f t="shared" ref="I10:I25" si="1">H10*$D10</f>
        <v>132300</v>
      </c>
      <c r="J10" s="9"/>
      <c r="K10" s="9">
        <f t="shared" ref="K10:K12" si="2">J10*$D10</f>
        <v>0</v>
      </c>
      <c r="L10" s="9"/>
      <c r="M10" s="9">
        <f t="shared" ref="M10:M12" si="3">L10*$D10</f>
        <v>0</v>
      </c>
      <c r="N10" s="9"/>
      <c r="O10" s="9">
        <f t="shared" ref="O10:O12" si="4">N10*$D10</f>
        <v>0</v>
      </c>
    </row>
    <row r="11" spans="1:15" ht="14.4">
      <c r="A11" s="7"/>
      <c r="B11" s="8"/>
      <c r="C11" t="s">
        <v>24</v>
      </c>
      <c r="D11" t="s">
        <v>40</v>
      </c>
      <c r="E11" t="s">
        <v>50</v>
      </c>
      <c r="F11" s="9">
        <v>260</v>
      </c>
      <c r="G11" s="9">
        <f t="shared" si="0"/>
        <v>5460</v>
      </c>
      <c r="H11" s="9">
        <v>60</v>
      </c>
      <c r="I11" s="9">
        <f t="shared" si="1"/>
        <v>1260</v>
      </c>
      <c r="J11" s="9"/>
      <c r="K11" s="9">
        <f t="shared" si="2"/>
        <v>0</v>
      </c>
      <c r="L11" s="9"/>
      <c r="M11" s="9">
        <f t="shared" si="3"/>
        <v>0</v>
      </c>
      <c r="N11" s="9"/>
      <c r="O11" s="9">
        <f t="shared" si="4"/>
        <v>0</v>
      </c>
    </row>
    <row r="12" spans="1:15" ht="14.4">
      <c r="A12" s="7"/>
      <c r="B12" s="8"/>
      <c r="C12" t="s">
        <v>25</v>
      </c>
      <c r="D12" t="s">
        <v>40</v>
      </c>
      <c r="E12" t="s">
        <v>51</v>
      </c>
      <c r="F12" s="9">
        <v>480</v>
      </c>
      <c r="G12" s="9">
        <f t="shared" si="0"/>
        <v>10080</v>
      </c>
      <c r="H12" s="9">
        <v>70</v>
      </c>
      <c r="I12" s="9">
        <f t="shared" si="1"/>
        <v>1470</v>
      </c>
      <c r="J12" s="9"/>
      <c r="K12" s="9">
        <f t="shared" si="2"/>
        <v>0</v>
      </c>
      <c r="L12" s="9"/>
      <c r="M12" s="9">
        <f t="shared" si="3"/>
        <v>0</v>
      </c>
      <c r="N12" s="9"/>
      <c r="O12" s="9">
        <f t="shared" si="4"/>
        <v>0</v>
      </c>
    </row>
    <row r="13" spans="1:15" ht="14.4">
      <c r="A13" s="10"/>
      <c r="B13" s="11"/>
      <c r="C13" t="s">
        <v>26</v>
      </c>
      <c r="D13" t="s">
        <v>41</v>
      </c>
      <c r="E13" t="s">
        <v>51</v>
      </c>
      <c r="F13" s="12">
        <v>20</v>
      </c>
      <c r="G13" s="9">
        <f t="shared" si="0"/>
        <v>840</v>
      </c>
      <c r="H13" s="12">
        <v>80</v>
      </c>
      <c r="I13" s="9">
        <f t="shared" si="1"/>
        <v>3360</v>
      </c>
      <c r="J13" s="12"/>
      <c r="K13" s="12"/>
      <c r="L13" s="12"/>
      <c r="M13" s="12"/>
      <c r="N13" s="12"/>
      <c r="O13" s="12"/>
    </row>
    <row r="14" spans="1:15" ht="14.4">
      <c r="A14" s="10"/>
      <c r="B14" s="11"/>
      <c r="C14" t="s">
        <v>27</v>
      </c>
      <c r="D14" t="s">
        <v>40</v>
      </c>
      <c r="E14" t="s">
        <v>51</v>
      </c>
      <c r="F14" s="12">
        <v>2</v>
      </c>
      <c r="G14" s="9">
        <f t="shared" si="0"/>
        <v>42</v>
      </c>
      <c r="H14" s="12">
        <v>10</v>
      </c>
      <c r="I14" s="9">
        <f t="shared" si="1"/>
        <v>210</v>
      </c>
      <c r="J14" s="12"/>
      <c r="K14" s="12"/>
      <c r="L14" s="12"/>
      <c r="M14" s="12"/>
      <c r="N14" s="12"/>
      <c r="O14" s="12"/>
    </row>
    <row r="15" spans="1:15" ht="14.4">
      <c r="A15" s="10"/>
      <c r="B15" s="11"/>
      <c r="C15" t="s">
        <v>28</v>
      </c>
      <c r="D15" t="s">
        <v>40</v>
      </c>
      <c r="E15" t="s">
        <v>51</v>
      </c>
      <c r="F15" s="12">
        <v>80</v>
      </c>
      <c r="G15" s="9">
        <f t="shared" si="0"/>
        <v>1680</v>
      </c>
      <c r="H15" s="12">
        <v>25</v>
      </c>
      <c r="I15" s="9">
        <f t="shared" si="1"/>
        <v>525</v>
      </c>
      <c r="J15" s="12"/>
      <c r="K15" s="12"/>
      <c r="L15" s="12"/>
      <c r="M15" s="12"/>
      <c r="N15" s="12"/>
      <c r="O15" s="12"/>
    </row>
    <row r="16" spans="1:15" ht="14.4">
      <c r="A16" s="10"/>
      <c r="B16" s="11"/>
      <c r="C16" t="s">
        <v>29</v>
      </c>
      <c r="D16" t="s">
        <v>42</v>
      </c>
      <c r="E16" t="s">
        <v>51</v>
      </c>
      <c r="F16" s="12">
        <v>45</v>
      </c>
      <c r="G16" s="9">
        <f t="shared" si="0"/>
        <v>2835</v>
      </c>
      <c r="H16" s="12">
        <v>40</v>
      </c>
      <c r="I16" s="9">
        <f t="shared" si="1"/>
        <v>2520</v>
      </c>
      <c r="J16" s="12"/>
      <c r="K16" s="12"/>
      <c r="L16" s="12"/>
      <c r="M16" s="12"/>
      <c r="N16" s="12"/>
      <c r="O16" s="12"/>
    </row>
    <row r="17" spans="1:15" ht="14.4">
      <c r="A17" s="10"/>
      <c r="B17" s="11"/>
      <c r="C17" t="s">
        <v>30</v>
      </c>
      <c r="D17" t="s">
        <v>43</v>
      </c>
      <c r="E17" t="s">
        <v>51</v>
      </c>
      <c r="F17" s="12">
        <v>6</v>
      </c>
      <c r="G17" s="9">
        <f t="shared" si="0"/>
        <v>1260</v>
      </c>
      <c r="H17" s="12">
        <v>89</v>
      </c>
      <c r="I17" s="9">
        <f t="shared" si="1"/>
        <v>18690</v>
      </c>
      <c r="J17" s="12"/>
      <c r="K17" s="12"/>
      <c r="L17" s="12"/>
      <c r="M17" s="12"/>
      <c r="N17" s="12"/>
      <c r="O17" s="12"/>
    </row>
    <row r="18" spans="1:15" ht="14.4">
      <c r="A18" s="10"/>
      <c r="B18" s="11"/>
      <c r="C18" t="s">
        <v>31</v>
      </c>
      <c r="D18" t="s">
        <v>41</v>
      </c>
      <c r="E18" t="s">
        <v>51</v>
      </c>
      <c r="F18" s="12">
        <v>40</v>
      </c>
      <c r="G18" s="9">
        <f t="shared" si="0"/>
        <v>1680</v>
      </c>
      <c r="H18" s="12">
        <v>46</v>
      </c>
      <c r="I18" s="9">
        <f t="shared" si="1"/>
        <v>1932</v>
      </c>
      <c r="J18" s="12"/>
      <c r="K18" s="12"/>
      <c r="L18" s="12"/>
      <c r="M18" s="12"/>
      <c r="N18" s="12"/>
      <c r="O18" s="12"/>
    </row>
    <row r="19" spans="1:15" ht="14.4">
      <c r="A19" s="10"/>
      <c r="B19" s="11"/>
      <c r="C19" t="s">
        <v>32</v>
      </c>
      <c r="D19" t="s">
        <v>44</v>
      </c>
      <c r="E19" t="s">
        <v>51</v>
      </c>
      <c r="F19" s="12">
        <v>10</v>
      </c>
      <c r="G19" s="9">
        <f t="shared" si="0"/>
        <v>1470</v>
      </c>
      <c r="H19" s="12">
        <v>78</v>
      </c>
      <c r="I19" s="9">
        <f t="shared" si="1"/>
        <v>11466</v>
      </c>
      <c r="J19" s="12"/>
      <c r="K19" s="12"/>
      <c r="L19" s="12"/>
      <c r="M19" s="12"/>
      <c r="N19" s="12"/>
      <c r="O19" s="12"/>
    </row>
    <row r="20" spans="1:15" ht="14.4">
      <c r="A20" s="10"/>
      <c r="B20" s="11"/>
      <c r="C20" t="s">
        <v>33</v>
      </c>
      <c r="D20" t="s">
        <v>45</v>
      </c>
      <c r="E20" t="s">
        <v>51</v>
      </c>
      <c r="F20" s="12">
        <v>9</v>
      </c>
      <c r="G20" s="9">
        <f t="shared" si="0"/>
        <v>756</v>
      </c>
      <c r="H20" s="12">
        <v>50</v>
      </c>
      <c r="I20" s="9">
        <f t="shared" si="1"/>
        <v>4200</v>
      </c>
      <c r="J20" s="12"/>
      <c r="K20" s="12"/>
      <c r="L20" s="12"/>
      <c r="M20" s="12"/>
      <c r="N20" s="12"/>
      <c r="O20" s="12"/>
    </row>
    <row r="21" spans="1:15" ht="14.4">
      <c r="A21" s="10"/>
      <c r="B21" s="11"/>
      <c r="C21" t="s">
        <v>34</v>
      </c>
      <c r="D21" t="s">
        <v>41</v>
      </c>
      <c r="E21" t="s">
        <v>51</v>
      </c>
      <c r="F21" s="12">
        <v>11</v>
      </c>
      <c r="G21" s="9">
        <f t="shared" si="0"/>
        <v>462</v>
      </c>
      <c r="H21" s="12">
        <v>40</v>
      </c>
      <c r="I21" s="9">
        <f t="shared" si="1"/>
        <v>1680</v>
      </c>
      <c r="J21" s="12"/>
      <c r="K21" s="12"/>
      <c r="L21" s="12"/>
      <c r="M21" s="12"/>
      <c r="N21" s="12"/>
      <c r="O21" s="12"/>
    </row>
    <row r="22" spans="1:15" ht="14.4">
      <c r="A22" s="10"/>
      <c r="B22" s="11"/>
      <c r="C22" t="s">
        <v>35</v>
      </c>
      <c r="D22" t="s">
        <v>46</v>
      </c>
      <c r="E22" t="s">
        <v>51</v>
      </c>
      <c r="F22" s="12">
        <v>45</v>
      </c>
      <c r="G22" s="9">
        <f t="shared" si="0"/>
        <v>47250</v>
      </c>
      <c r="H22" s="12">
        <v>12</v>
      </c>
      <c r="I22" s="9">
        <f t="shared" si="1"/>
        <v>12600</v>
      </c>
      <c r="J22" s="12"/>
      <c r="K22" s="12"/>
      <c r="L22" s="12"/>
      <c r="M22" s="12"/>
      <c r="N22" s="12"/>
      <c r="O22" s="12"/>
    </row>
    <row r="23" spans="1:15" ht="14.4">
      <c r="A23" s="10"/>
      <c r="B23" s="11"/>
      <c r="C23" t="s">
        <v>36</v>
      </c>
      <c r="D23" t="s">
        <v>47</v>
      </c>
      <c r="E23" t="s">
        <v>51</v>
      </c>
      <c r="F23" s="12">
        <v>36</v>
      </c>
      <c r="G23" s="9">
        <f t="shared" si="0"/>
        <v>18900</v>
      </c>
      <c r="H23" s="12">
        <v>9</v>
      </c>
      <c r="I23" s="9">
        <f t="shared" si="1"/>
        <v>4725</v>
      </c>
      <c r="J23" s="12"/>
      <c r="K23" s="12"/>
      <c r="L23" s="12"/>
      <c r="M23" s="12"/>
      <c r="N23" s="12"/>
      <c r="O23" s="12"/>
    </row>
    <row r="24" spans="1:15" ht="14.4">
      <c r="A24" s="10"/>
      <c r="B24" s="11"/>
      <c r="C24" t="s">
        <v>37</v>
      </c>
      <c r="D24" t="s">
        <v>48</v>
      </c>
      <c r="E24" t="s">
        <v>51</v>
      </c>
      <c r="F24" s="12">
        <v>48</v>
      </c>
      <c r="G24" s="9">
        <f t="shared" si="0"/>
        <v>252000</v>
      </c>
      <c r="H24" s="12">
        <v>8</v>
      </c>
      <c r="I24" s="9">
        <f t="shared" si="1"/>
        <v>42000</v>
      </c>
      <c r="J24" s="12"/>
      <c r="K24" s="12"/>
      <c r="L24" s="12"/>
      <c r="M24" s="12"/>
      <c r="N24" s="12"/>
      <c r="O24" s="12"/>
    </row>
    <row r="25" spans="1:15" ht="14.4">
      <c r="A25" s="10"/>
      <c r="B25" s="11"/>
      <c r="C25" t="s">
        <v>38</v>
      </c>
      <c r="D25" t="s">
        <v>40</v>
      </c>
      <c r="E25" t="s">
        <v>51</v>
      </c>
      <c r="F25" s="12">
        <v>50</v>
      </c>
      <c r="G25" s="9">
        <f t="shared" si="0"/>
        <v>1050</v>
      </c>
      <c r="H25" s="12">
        <v>7</v>
      </c>
      <c r="I25" s="9">
        <f t="shared" si="1"/>
        <v>147</v>
      </c>
      <c r="J25" s="12"/>
      <c r="K25" s="12"/>
      <c r="L25" s="12"/>
      <c r="M25" s="12"/>
      <c r="N25" s="12"/>
      <c r="O25" s="12"/>
    </row>
    <row r="26" spans="1:15" ht="14.4">
      <c r="A26" s="10"/>
      <c r="B26" s="11"/>
      <c r="C26" s="25"/>
      <c r="F26" s="12"/>
      <c r="G26" s="9"/>
      <c r="H26" s="12"/>
      <c r="I26" s="12"/>
      <c r="J26" s="12"/>
      <c r="K26" s="12"/>
      <c r="L26" s="12"/>
      <c r="M26" s="12"/>
      <c r="N26" s="12"/>
      <c r="O26" s="12"/>
    </row>
    <row r="27" spans="1:15" ht="14.4">
      <c r="A27" s="10"/>
      <c r="B27" s="11"/>
      <c r="C27" s="25"/>
      <c r="F27" s="12"/>
      <c r="G27" s="26"/>
      <c r="H27" s="12"/>
      <c r="I27" s="12"/>
      <c r="J27" s="12"/>
      <c r="K27" s="12"/>
      <c r="L27" s="12"/>
      <c r="M27" s="12"/>
      <c r="N27" s="12"/>
      <c r="O27" s="12"/>
    </row>
    <row r="29" spans="1:15" ht="14.4">
      <c r="A29" s="13" t="s">
        <v>15</v>
      </c>
      <c r="B29" s="14"/>
      <c r="C29" s="14"/>
      <c r="D29" s="14"/>
      <c r="E29" s="14"/>
      <c r="F29" s="14"/>
      <c r="G29" s="15">
        <f>SUM(G10:G27)</f>
        <v>404565</v>
      </c>
      <c r="H29" s="14"/>
      <c r="I29" s="15">
        <f>SUM(I10:I12)</f>
        <v>135030</v>
      </c>
      <c r="J29" s="14"/>
      <c r="K29" s="15">
        <f>SUM(K10:K12)</f>
        <v>0</v>
      </c>
      <c r="L29" s="14"/>
      <c r="M29" s="15">
        <f>SUM(M10:M12)</f>
        <v>0</v>
      </c>
      <c r="N29" s="14"/>
      <c r="O29" s="15">
        <f>SUM(O10:O12)</f>
        <v>0</v>
      </c>
    </row>
    <row r="30" spans="1:15" ht="14.4">
      <c r="A30" s="13" t="s">
        <v>16</v>
      </c>
      <c r="B30" s="14"/>
      <c r="C30" s="14"/>
      <c r="D30" s="14"/>
      <c r="E30" s="14"/>
      <c r="F30" s="16">
        <v>0.08</v>
      </c>
      <c r="G30" s="15">
        <f>F30*G29</f>
        <v>32365.200000000001</v>
      </c>
      <c r="H30" s="16">
        <v>7.0000000000000007E-2</v>
      </c>
      <c r="I30" s="15">
        <f>H30*I29</f>
        <v>9452.1</v>
      </c>
      <c r="J30" s="16">
        <v>0.09</v>
      </c>
      <c r="K30" s="15">
        <f>J30*K29</f>
        <v>0</v>
      </c>
      <c r="L30" s="16">
        <v>0.08</v>
      </c>
      <c r="M30" s="15">
        <f>L30*M29</f>
        <v>0</v>
      </c>
      <c r="N30" s="16">
        <v>7.0000000000000007E-2</v>
      </c>
      <c r="O30" s="15">
        <f>N30*O29</f>
        <v>0</v>
      </c>
    </row>
    <row r="31" spans="1:15" ht="26.4">
      <c r="A31" s="13" t="s">
        <v>17</v>
      </c>
      <c r="B31" s="14"/>
      <c r="C31" s="14"/>
      <c r="D31" s="14"/>
      <c r="E31" s="14"/>
      <c r="F31" s="14"/>
      <c r="G31" s="15">
        <f>G29-G30</f>
        <v>372199.8</v>
      </c>
      <c r="H31" s="14"/>
      <c r="I31" s="15">
        <f>I29-I30</f>
        <v>125577.9</v>
      </c>
      <c r="J31" s="14"/>
      <c r="K31" s="15">
        <f>K29-K30</f>
        <v>0</v>
      </c>
      <c r="L31" s="14"/>
      <c r="M31" s="15">
        <f>M29-M30</f>
        <v>0</v>
      </c>
      <c r="N31" s="14"/>
      <c r="O31" s="15">
        <f>O29-O30</f>
        <v>0</v>
      </c>
    </row>
    <row r="32" spans="1:15" ht="14.4">
      <c r="A32" s="13" t="s">
        <v>18</v>
      </c>
      <c r="B32" s="14"/>
      <c r="C32" s="14"/>
      <c r="D32" s="14"/>
      <c r="E32" s="14"/>
      <c r="F32" s="16">
        <v>0.18</v>
      </c>
      <c r="G32" s="15">
        <f>F32*G31</f>
        <v>66995.963999999993</v>
      </c>
      <c r="H32" s="16">
        <v>0.18</v>
      </c>
      <c r="I32" s="15">
        <f>H32*I31</f>
        <v>22604.021999999997</v>
      </c>
      <c r="J32" s="16">
        <v>0.18</v>
      </c>
      <c r="K32" s="15">
        <f>J32*K31</f>
        <v>0</v>
      </c>
      <c r="L32" s="16">
        <v>0.18</v>
      </c>
      <c r="M32" s="15">
        <f>L32*M31</f>
        <v>0</v>
      </c>
      <c r="N32" s="16">
        <v>0.18</v>
      </c>
      <c r="O32" s="15">
        <f>N32*O31</f>
        <v>0</v>
      </c>
    </row>
    <row r="33" spans="1:15" ht="27.6">
      <c r="A33" s="17" t="s">
        <v>19</v>
      </c>
      <c r="B33" s="18"/>
      <c r="C33" s="18"/>
      <c r="D33" s="18"/>
      <c r="E33" s="18"/>
      <c r="F33" s="18"/>
      <c r="G33" s="19">
        <f>G31+G32</f>
        <v>439195.76399999997</v>
      </c>
      <c r="H33" s="18"/>
      <c r="I33" s="19">
        <f>I31+I32</f>
        <v>148181.92199999999</v>
      </c>
      <c r="J33" s="18"/>
      <c r="K33" s="19">
        <f>K31+K32</f>
        <v>0</v>
      </c>
      <c r="L33" s="18"/>
      <c r="M33" s="19">
        <f>M31+M32</f>
        <v>0</v>
      </c>
      <c r="N33" s="18"/>
      <c r="O33" s="19">
        <f>O31+O32</f>
        <v>0</v>
      </c>
    </row>
    <row r="35" spans="1:15" ht="14.4">
      <c r="A35" s="20" t="s">
        <v>20</v>
      </c>
      <c r="B35" s="2"/>
      <c r="C35" s="2"/>
      <c r="D35" s="2"/>
      <c r="E35" s="2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15.75" customHeight="1">
      <c r="A36" s="20" t="s">
        <v>21</v>
      </c>
      <c r="B36" s="2"/>
      <c r="C36" s="2"/>
      <c r="D36" s="2"/>
      <c r="E36" s="2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5.75" customHeight="1">
      <c r="A37" s="20" t="s">
        <v>22</v>
      </c>
      <c r="B37" s="2"/>
      <c r="C37" s="2"/>
      <c r="D37" s="2"/>
      <c r="E37" s="2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6">
    <mergeCell ref="C9:E9"/>
    <mergeCell ref="F7:G7"/>
    <mergeCell ref="H7:I7"/>
    <mergeCell ref="J7:K7"/>
    <mergeCell ref="L7:M7"/>
    <mergeCell ref="N7:O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Nakum</cp:lastModifiedBy>
  <dcterms:modified xsi:type="dcterms:W3CDTF">2026-07-13T08:22:30Z</dcterms:modified>
</cp:coreProperties>
</file>