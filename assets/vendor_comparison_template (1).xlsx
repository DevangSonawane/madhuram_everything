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5"/>
  </sheets>
  <definedNames/>
  <calcPr/>
</workbook>
</file>

<file path=xl/sharedStrings.xml><?xml version="1.0" encoding="utf-8"?>
<sst xmlns="http://schemas.openxmlformats.org/spreadsheetml/2006/main" count="44" uniqueCount="34">
  <si>
    <t>Company Name:</t>
  </si>
  <si>
    <t>Madhuram Enterprises</t>
  </si>
  <si>
    <t>Project Name:</t>
  </si>
  <si>
    <t>Florencia B</t>
  </si>
  <si>
    <t>Indent No:</t>
  </si>
  <si>
    <t>Indent Date:</t>
  </si>
  <si>
    <t>Comparison Date:</t>
  </si>
  <si>
    <t>2026-08-07</t>
  </si>
  <si>
    <t>AquaFlow Industries</t>
  </si>
  <si>
    <t>Prime Sanitary Solutions</t>
  </si>
  <si>
    <t>Metro Plumbing Supplies</t>
  </si>
  <si>
    <t>Elite Bathware</t>
  </si>
  <si>
    <t>HydroTech Traders</t>
  </si>
  <si>
    <t>Sr. No.</t>
  </si>
  <si>
    <t>HSN Code</t>
  </si>
  <si>
    <t>Item Description</t>
  </si>
  <si>
    <t>Qty</t>
  </si>
  <si>
    <t>UOM</t>
  </si>
  <si>
    <t>Rate</t>
  </si>
  <si>
    <t>Amount</t>
  </si>
  <si>
    <t>A</t>
  </si>
  <si>
    <t>Sink &amp; Wall Mixer Taps  (optional category header — leave vendor cells on this row blank)</t>
  </si>
  <si>
    <t>Waste Pipe 110 mm dia</t>
  </si>
  <si>
    <t>Nos</t>
  </si>
  <si>
    <t>Rain Water Pipe 75 mm dia</t>
  </si>
  <si>
    <t>110 mm dia</t>
  </si>
  <si>
    <t>Subtotal</t>
  </si>
  <si>
    <t>Discount</t>
  </si>
  <si>
    <t>Net Amount</t>
  </si>
  <si>
    <t>GST</t>
  </si>
  <si>
    <t>Total Value</t>
  </si>
  <si>
    <t>Delivery</t>
  </si>
  <si>
    <t>Payment</t>
  </si>
  <si>
    <t>Transportation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</si>
</sst>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shrinkToFit="0" vertical="bottom" wrapText="0"/>
    </xf>
    <xf borderId="1" fillId="5" fontId="1" numFmtId="4" xfId="0" applyAlignment="1" applyBorder="1" applyFont="1" applyNumberFormat="1">
      <alignment horizontal="center" shrinkToFit="0" vertical="center" wrapText="1"/>
    </xf>
    <xf borderId="1" fillId="5" fontId="1" numFmtId="9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ont="1">
      <alignment shrinkToFit="0" vertical="bottom" wrapText="0"/>
    </xf>
    <xf borderId="1" fillId="6" fontId="5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101.57"/>
    <col customWidth="1" min="4" max="5" width="8.0"/>
    <col customWidth="1" min="6" max="6" width="12.0"/>
    <col customWidth="1" min="7" max="7" width="13.0"/>
    <col customWidth="1" min="8" max="8" width="12.0"/>
    <col customWidth="1" min="9" max="9" width="13.0"/>
    <col customWidth="1" min="10" max="10" width="12.0"/>
    <col customWidth="1" min="11" max="11" width="13.0"/>
    <col customWidth="1" min="12" max="12" width="12.0"/>
    <col customWidth="1" min="13" max="13" width="13.0"/>
    <col customWidth="1" min="14" max="14" width="12.0"/>
    <col customWidth="1" min="15" max="15" width="13.0"/>
    <col customWidth="1" min="16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/>
    </row>
    <row r="4">
      <c r="A4" s="1" t="s">
        <v>5</v>
      </c>
      <c r="B4" s="2"/>
    </row>
    <row r="5">
      <c r="A5" s="1" t="s">
        <v>6</v>
      </c>
      <c r="B5" s="2" t="s">
        <v>7</v>
      </c>
    </row>
    <row r="7" ht="15.0" customHeight="1">
      <c r="A7" s="3"/>
      <c r="B7" s="3"/>
      <c r="C7" s="3"/>
      <c r="D7" s="3"/>
      <c r="E7" s="3"/>
      <c r="F7" s="4" t="s">
        <v>8</v>
      </c>
      <c r="G7" s="5"/>
      <c r="H7" s="4" t="s">
        <v>9</v>
      </c>
      <c r="I7" s="5"/>
      <c r="J7" s="4" t="s">
        <v>10</v>
      </c>
      <c r="K7" s="5"/>
      <c r="L7" s="4" t="s">
        <v>11</v>
      </c>
      <c r="M7" s="5"/>
      <c r="N7" s="4" t="s">
        <v>12</v>
      </c>
      <c r="O7" s="5"/>
    </row>
    <row r="8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18</v>
      </c>
      <c r="I8" s="6" t="s">
        <v>19</v>
      </c>
      <c r="J8" s="6" t="s">
        <v>18</v>
      </c>
      <c r="K8" s="6" t="s">
        <v>19</v>
      </c>
      <c r="L8" s="6" t="s">
        <v>18</v>
      </c>
      <c r="M8" s="6" t="s">
        <v>19</v>
      </c>
      <c r="N8" s="6" t="s">
        <v>18</v>
      </c>
      <c r="O8" s="6" t="s">
        <v>19</v>
      </c>
    </row>
    <row r="9" ht="23.25" customHeight="1">
      <c r="A9" s="7" t="s">
        <v>20</v>
      </c>
      <c r="B9" s="8"/>
      <c r="C9" s="9" t="s">
        <v>21</v>
      </c>
      <c r="D9" s="10"/>
      <c r="E9" s="5"/>
      <c r="F9" s="8"/>
      <c r="G9" s="8"/>
      <c r="H9" s="8"/>
      <c r="I9" s="8"/>
      <c r="J9" s="8"/>
      <c r="K9" s="8"/>
      <c r="L9" s="8"/>
      <c r="M9" s="8"/>
      <c r="N9" s="8"/>
      <c r="O9" s="8"/>
    </row>
    <row r="10">
      <c r="A10" s="11">
        <v>1.0</v>
      </c>
      <c r="B10" s="12">
        <v>8481.0</v>
      </c>
      <c r="C10" s="13" t="s">
        <v>22</v>
      </c>
      <c r="D10" s="14">
        <v>90.0</v>
      </c>
      <c r="E10" s="12" t="s">
        <v>23</v>
      </c>
      <c r="F10" s="15">
        <v>2850.0</v>
      </c>
      <c r="G10" s="15">
        <f t="shared" ref="G10:G12" si="1">F10*$D10</f>
        <v>256500</v>
      </c>
      <c r="H10" s="15">
        <v>2795.0</v>
      </c>
      <c r="I10" s="15">
        <f t="shared" ref="I10:I12" si="2">H10*$D10</f>
        <v>251550</v>
      </c>
      <c r="J10" s="15">
        <v>2910.0</v>
      </c>
      <c r="K10" s="15">
        <f t="shared" ref="K10:K12" si="3">J10*$D10</f>
        <v>261900</v>
      </c>
      <c r="L10" s="15">
        <v>2765.0</v>
      </c>
      <c r="M10" s="15">
        <f t="shared" ref="M10:M12" si="4">L10*$D10</f>
        <v>248850</v>
      </c>
      <c r="N10" s="15">
        <v>2885.0</v>
      </c>
      <c r="O10" s="15">
        <f t="shared" ref="O10:O12" si="5">N10*$D10</f>
        <v>259650</v>
      </c>
    </row>
    <row r="11">
      <c r="A11" s="11">
        <v>2.0</v>
      </c>
      <c r="B11" s="12">
        <v>8481.0</v>
      </c>
      <c r="C11" s="13" t="s">
        <v>24</v>
      </c>
      <c r="D11" s="14">
        <v>90.0</v>
      </c>
      <c r="E11" s="12" t="s">
        <v>23</v>
      </c>
      <c r="F11" s="15">
        <v>4250.0</v>
      </c>
      <c r="G11" s="15">
        <f t="shared" si="1"/>
        <v>382500</v>
      </c>
      <c r="H11" s="15">
        <v>4180.0</v>
      </c>
      <c r="I11" s="15">
        <f t="shared" si="2"/>
        <v>376200</v>
      </c>
      <c r="J11" s="15">
        <v>4315.0</v>
      </c>
      <c r="K11" s="15">
        <f t="shared" si="3"/>
        <v>388350</v>
      </c>
      <c r="L11" s="15">
        <v>4155.0</v>
      </c>
      <c r="M11" s="15">
        <f t="shared" si="4"/>
        <v>373950</v>
      </c>
      <c r="N11" s="15">
        <v>4275.0</v>
      </c>
      <c r="O11" s="15">
        <f t="shared" si="5"/>
        <v>384750</v>
      </c>
    </row>
    <row r="12">
      <c r="A12" s="11">
        <v>3.0</v>
      </c>
      <c r="B12" s="12">
        <v>9987.0</v>
      </c>
      <c r="C12" s="13" t="s">
        <v>25</v>
      </c>
      <c r="D12" s="14">
        <v>90.0</v>
      </c>
      <c r="E12" s="12" t="s">
        <v>23</v>
      </c>
      <c r="F12" s="15">
        <v>350.0</v>
      </c>
      <c r="G12" s="15">
        <f t="shared" si="1"/>
        <v>31500</v>
      </c>
      <c r="H12" s="15">
        <v>340.0</v>
      </c>
      <c r="I12" s="15">
        <f t="shared" si="2"/>
        <v>30600</v>
      </c>
      <c r="J12" s="15">
        <v>360.0</v>
      </c>
      <c r="K12" s="15">
        <f t="shared" si="3"/>
        <v>32400</v>
      </c>
      <c r="L12" s="15">
        <v>345.0</v>
      </c>
      <c r="M12" s="15">
        <f t="shared" si="4"/>
        <v>31050</v>
      </c>
      <c r="N12" s="15">
        <v>355.0</v>
      </c>
      <c r="O12" s="15">
        <f t="shared" si="5"/>
        <v>31950</v>
      </c>
    </row>
    <row r="14">
      <c r="A14" s="16" t="s">
        <v>26</v>
      </c>
      <c r="B14" s="17"/>
      <c r="C14" s="17"/>
      <c r="D14" s="17"/>
      <c r="E14" s="17"/>
      <c r="F14" s="17"/>
      <c r="G14" s="18">
        <f>SUM(G10:G12)</f>
        <v>670500</v>
      </c>
      <c r="H14" s="17"/>
      <c r="I14" s="18">
        <f>SUM(I10:I12)</f>
        <v>658350</v>
      </c>
      <c r="J14" s="17"/>
      <c r="K14" s="18">
        <f>SUM(K10:K12)</f>
        <v>682650</v>
      </c>
      <c r="L14" s="17"/>
      <c r="M14" s="18">
        <f>SUM(M10:M12)</f>
        <v>653850</v>
      </c>
      <c r="N14" s="17"/>
      <c r="O14" s="18">
        <f>SUM(O10:O12)</f>
        <v>676350</v>
      </c>
    </row>
    <row r="15">
      <c r="A15" s="16" t="s">
        <v>27</v>
      </c>
      <c r="B15" s="17"/>
      <c r="C15" s="17"/>
      <c r="D15" s="17"/>
      <c r="E15" s="17"/>
      <c r="F15" s="19">
        <v>0.08</v>
      </c>
      <c r="G15" s="18">
        <f>F15*G14</f>
        <v>53640</v>
      </c>
      <c r="H15" s="19">
        <v>0.07</v>
      </c>
      <c r="I15" s="18">
        <f>H15*I14</f>
        <v>46084.5</v>
      </c>
      <c r="J15" s="19">
        <v>0.09</v>
      </c>
      <c r="K15" s="18">
        <f>J15*K14</f>
        <v>61438.5</v>
      </c>
      <c r="L15" s="19">
        <v>0.08</v>
      </c>
      <c r="M15" s="18">
        <f>L15*M14</f>
        <v>52308</v>
      </c>
      <c r="N15" s="19">
        <v>0.07</v>
      </c>
      <c r="O15" s="18">
        <f>N15*O14</f>
        <v>47344.5</v>
      </c>
    </row>
    <row r="16">
      <c r="A16" s="16" t="s">
        <v>28</v>
      </c>
      <c r="B16" s="17"/>
      <c r="C16" s="17"/>
      <c r="D16" s="17"/>
      <c r="E16" s="17"/>
      <c r="F16" s="17"/>
      <c r="G16" s="18">
        <f>G14-G15</f>
        <v>616860</v>
      </c>
      <c r="H16" s="17"/>
      <c r="I16" s="18">
        <f>I14-I15</f>
        <v>612265.5</v>
      </c>
      <c r="J16" s="17"/>
      <c r="K16" s="18">
        <f>K14-K15</f>
        <v>621211.5</v>
      </c>
      <c r="L16" s="17"/>
      <c r="M16" s="18">
        <f>M14-M15</f>
        <v>601542</v>
      </c>
      <c r="N16" s="17"/>
      <c r="O16" s="18">
        <f>O14-O15</f>
        <v>629005.5</v>
      </c>
    </row>
    <row r="17">
      <c r="A17" s="16" t="s">
        <v>29</v>
      </c>
      <c r="B17" s="17"/>
      <c r="C17" s="17"/>
      <c r="D17" s="17"/>
      <c r="E17" s="17"/>
      <c r="F17" s="19">
        <v>0.18</v>
      </c>
      <c r="G17" s="18">
        <f>F17*G16</f>
        <v>111034.8</v>
      </c>
      <c r="H17" s="19">
        <v>0.18</v>
      </c>
      <c r="I17" s="18">
        <f>H17*I16</f>
        <v>110207.79</v>
      </c>
      <c r="J17" s="19">
        <v>0.18</v>
      </c>
      <c r="K17" s="18">
        <f>J17*K16</f>
        <v>111818.07</v>
      </c>
      <c r="L17" s="19">
        <v>0.18</v>
      </c>
      <c r="M17" s="18">
        <f>L17*M16</f>
        <v>108277.56</v>
      </c>
      <c r="N17" s="19">
        <v>0.18</v>
      </c>
      <c r="O17" s="18">
        <f>N17*O16</f>
        <v>113220.99</v>
      </c>
    </row>
    <row r="18">
      <c r="A18" s="20" t="s">
        <v>30</v>
      </c>
      <c r="B18" s="21"/>
      <c r="C18" s="21"/>
      <c r="D18" s="21"/>
      <c r="E18" s="21"/>
      <c r="F18" s="21"/>
      <c r="G18" s="22">
        <f>G16+G17</f>
        <v>727894.8</v>
      </c>
      <c r="H18" s="21"/>
      <c r="I18" s="22">
        <f>I16+I17</f>
        <v>722473.29</v>
      </c>
      <c r="J18" s="21"/>
      <c r="K18" s="22">
        <f>K16+K17</f>
        <v>733029.57</v>
      </c>
      <c r="L18" s="21"/>
      <c r="M18" s="22">
        <f>M16+M17</f>
        <v>709819.56</v>
      </c>
      <c r="N18" s="21"/>
      <c r="O18" s="22">
        <f>O16+O17</f>
        <v>742226.49</v>
      </c>
    </row>
    <row r="20">
      <c r="A20" s="23" t="s">
        <v>31</v>
      </c>
      <c r="B20" s="2"/>
      <c r="C20" s="2"/>
      <c r="D20" s="2"/>
      <c r="E20" s="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23" t="s">
        <v>32</v>
      </c>
      <c r="B21" s="2"/>
      <c r="C21" s="2"/>
      <c r="D21" s="2"/>
      <c r="E21" s="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23" t="s">
        <v>33</v>
      </c>
      <c r="B22" s="2"/>
      <c r="C22" s="2"/>
      <c r="D22" s="2"/>
      <c r="E22" s="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F7:G7"/>
    <mergeCell ref="H7:I7"/>
    <mergeCell ref="J7:K7"/>
    <mergeCell ref="L7:M7"/>
    <mergeCell ref="N7:O7"/>
    <mergeCell ref="C9:E9"/>
  </mergeCells>
  <printOptions/>
  <pageMargins bottom="1.0" footer="0.0" header="0.0" left="0.75" right="0.75" top="1.0"/>
  <pageSetup paperSize="9" orientation="portrait"/>
  <drawing r:id="rId1"/>
</worksheet>
</file>