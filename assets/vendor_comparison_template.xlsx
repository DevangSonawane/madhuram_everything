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<sst xmlns="http://schemas.openxmlformats.org/spreadsheetml/2006/main" count="44" uniqueCount="34">
  <si>
    <t xml:space="preserve">Company Name:</t>
  </si>
  <si>
    <t xml:space="preserve">Madhuram Enterprises</t>
  </si>
  <si>
    <t xml:space="preserve">Project Name:</t>
  </si>
  <si>
    <t xml:space="preserve">Florencia B</t>
  </si>
  <si>
    <t xml:space="preserve">Indent No:</t>
  </si>
  <si>
    <t xml:space="preserve">Indent Date:</t>
  </si>
  <si>
    <t xml:space="preserve">Comparison Date:</t>
  </si>
  <si>
    <t xml:space="preserve">2026-08-07</t>
  </si>
  <si>
    <t xml:space="preserve">AquaFlow Industries</t>
  </si>
  <si>
    <t xml:space="preserve">Prime Sanitary Solutions</t>
  </si>
  <si>
    <t xml:space="preserve">Metro Plumbing Supplies</t>
  </si>
  <si>
    <t xml:space="preserve">Elite Bathware</t>
  </si>
  <si>
    <t xml:space="preserve">HydroTech Traders</t>
  </si>
  <si>
    <t xml:space="preserve">Sr. No.</t>
  </si>
  <si>
    <t xml:space="preserve">HSN Code</t>
  </si>
  <si>
    <t xml:space="preserve">Item Description</t>
  </si>
  <si>
    <t xml:space="preserve">Qty</t>
  </si>
  <si>
    <t xml:space="preserve">UOM</t>
  </si>
  <si>
    <t xml:space="preserve">Rate</t>
  </si>
  <si>
    <t xml:space="preserve">Amount</t>
  </si>
  <si>
    <t xml:space="preserve">A</t>
  </si>
  <si>
    <t xml:space="preserve">Sink &amp; Wall Mixer Taps  (optional category header — leave vendor cells on this row blank)</t>
  </si>
  <si>
    <t xml:space="preserve">T,C&amp;H of Single Lever Sink Tap</t>
  </si>
  <si>
    <t xml:space="preserve">Nos</t>
  </si>
  <si>
    <t xml:space="preserve">T,C&amp;H of Single Lever Wall Mixer</t>
  </si>
  <si>
    <t xml:space="preserve">Fixing of Single Lever Sink Tap, Testing &amp; Commissioning complete with all necessary fittings and making good.</t>
  </si>
  <si>
    <t xml:space="preserve">Subtotal</t>
  </si>
  <si>
    <t xml:space="preserve">Discount</t>
  </si>
  <si>
    <t xml:space="preserve">Net Amount</t>
  </si>
  <si>
    <t xml:space="preserve">GST</t>
  </si>
  <si>
    <t xml:space="preserve">Total Value</t>
  </si>
  <si>
    <t xml:space="preserve">Delivery</t>
  </si>
  <si>
    <t xml:space="preserve">Payment</t>
  </si>
  <si>
    <t xml:space="preserve">Transportation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</si>
</sst>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#,##0"/>
    <numFmt numFmtId="167" formatCode="#,##0.00"/>
    <numFmt numFmtId="168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D9E1F2"/>
        <bgColor rgb="FFC6E0B4"/>
      </patternFill>
    </fill>
    <fill>
      <patternFill patternType="solid">
        <fgColor rgb="FFFFF2CC"/>
        <bgColor rgb="FFFFFFFF"/>
      </patternFill>
    </fill>
    <fill>
      <patternFill patternType="solid">
        <fgColor rgb="FFC6E0B4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8" topLeftCell="F9" activePane="bottomRight" state="frozen"/>
      <selection pane="topLeft" activeCell="A1" activeCellId="0" sqref="A1"/>
      <selection pane="topRight" activeCell="F1" activeCellId="0" sqref="F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5" min="4" style="0" width="8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2"/>
    <col collapsed="false" customWidth="true" hidden="false" outlineLevel="0" max="15" min="15" style="0" width="13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15" hidden="false" customHeight="false" outlineLevel="0" collapsed="false">
      <c r="A3" s="1" t="s">
        <v>4</v>
      </c>
      <c r="B3" s="2"/>
    </row>
    <row r="4" customFormat="false" ht="15" hidden="false" customHeight="false" outlineLevel="0" collapsed="false">
      <c r="A4" s="1" t="s">
        <v>5</v>
      </c>
      <c r="B4" s="2"/>
    </row>
    <row r="5" customFormat="false" ht="15" hidden="false" customHeight="false" outlineLevel="0" collapsed="false">
      <c r="A5" s="1" t="s">
        <v>6</v>
      </c>
      <c r="B5" s="2" t="s">
        <v>7</v>
      </c>
    </row>
    <row r="7" customFormat="false" ht="15" hidden="false" customHeight="true" outlineLevel="0" collapsed="false">
      <c r="A7" s="3"/>
      <c r="B7" s="3"/>
      <c r="C7" s="3"/>
      <c r="D7" s="3"/>
      <c r="E7" s="3"/>
      <c r="F7" s="4" t="s">
        <v>8</v>
      </c>
      <c r="G7" s="4"/>
      <c r="H7" s="4" t="s">
        <v>9</v>
      </c>
      <c r="I7" s="4"/>
      <c r="J7" s="4" t="s">
        <v>10</v>
      </c>
      <c r="K7" s="4"/>
      <c r="L7" s="4" t="s">
        <v>11</v>
      </c>
      <c r="M7" s="4"/>
      <c r="N7" s="4" t="s">
        <v>12</v>
      </c>
      <c r="O7" s="4"/>
    </row>
    <row r="8" customFormat="false" ht="15" hidden="false" customHeight="false" outlineLevel="0" collapsed="false">
      <c r="A8" s="5" t="s">
        <v>13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18</v>
      </c>
      <c r="G8" s="5" t="s">
        <v>19</v>
      </c>
      <c r="H8" s="5" t="s">
        <v>18</v>
      </c>
      <c r="I8" s="5" t="s">
        <v>19</v>
      </c>
      <c r="J8" s="5" t="s">
        <v>18</v>
      </c>
      <c r="K8" s="5" t="s">
        <v>19</v>
      </c>
      <c r="L8" s="5" t="s">
        <v>18</v>
      </c>
      <c r="M8" s="5" t="s">
        <v>19</v>
      </c>
      <c r="N8" s="5" t="s">
        <v>18</v>
      </c>
      <c r="O8" s="5" t="s">
        <v>19</v>
      </c>
    </row>
    <row r="9" customFormat="false" ht="23.85" hidden="false" customHeight="true" outlineLevel="0" collapsed="false">
      <c r="A9" s="6" t="s">
        <v>20</v>
      </c>
      <c r="B9" s="7"/>
      <c r="C9" s="8" t="s">
        <v>21</v>
      </c>
      <c r="D9" s="8"/>
      <c r="E9" s="8"/>
      <c r="F9" s="7"/>
      <c r="G9" s="7"/>
      <c r="H9" s="7"/>
      <c r="I9" s="7"/>
      <c r="J9" s="7"/>
      <c r="K9" s="7"/>
      <c r="L9" s="7"/>
      <c r="M9" s="7"/>
      <c r="N9" s="7"/>
      <c r="O9" s="7"/>
    </row>
    <row r="10" customFormat="false" ht="15" hidden="false" customHeight="false" outlineLevel="0" collapsed="false">
      <c r="A10" s="9" t="n">
        <v>1</v>
      </c>
      <c r="B10" s="10" t="n">
        <v>8481</v>
      </c>
      <c r="C10" s="11" t="s">
        <v>22</v>
      </c>
      <c r="D10" s="12" t="n">
        <v>25</v>
      </c>
      <c r="E10" s="10" t="s">
        <v>23</v>
      </c>
      <c r="F10" s="13" t="n">
        <v>2850</v>
      </c>
      <c r="G10" s="13" t="n">
        <f aca="false">F10*$D10</f>
        <v>71250</v>
      </c>
      <c r="H10" s="13" t="n">
        <v>2795</v>
      </c>
      <c r="I10" s="13" t="n">
        <f aca="false">H10*$D10</f>
        <v>69875</v>
      </c>
      <c r="J10" s="13" t="n">
        <v>2910</v>
      </c>
      <c r="K10" s="13" t="n">
        <f aca="false">J10*$D10</f>
        <v>72750</v>
      </c>
      <c r="L10" s="13" t="n">
        <v>2765</v>
      </c>
      <c r="M10" s="13" t="n">
        <f aca="false">L10*$D10</f>
        <v>69125</v>
      </c>
      <c r="N10" s="13" t="n">
        <v>2885</v>
      </c>
      <c r="O10" s="13" t="n">
        <f aca="false">N10*$D10</f>
        <v>72125</v>
      </c>
    </row>
    <row r="11" customFormat="false" ht="15" hidden="false" customHeight="false" outlineLevel="0" collapsed="false">
      <c r="A11" s="9" t="n">
        <v>2</v>
      </c>
      <c r="B11" s="10" t="n">
        <v>8481</v>
      </c>
      <c r="C11" s="11" t="s">
        <v>24</v>
      </c>
      <c r="D11" s="12" t="n">
        <v>18</v>
      </c>
      <c r="E11" s="10" t="s">
        <v>23</v>
      </c>
      <c r="F11" s="13" t="n">
        <v>4250</v>
      </c>
      <c r="G11" s="13" t="n">
        <f aca="false">F11*$D11</f>
        <v>76500</v>
      </c>
      <c r="H11" s="13" t="n">
        <v>4180</v>
      </c>
      <c r="I11" s="13" t="n">
        <f aca="false">H11*$D11</f>
        <v>75240</v>
      </c>
      <c r="J11" s="13" t="n">
        <v>4315</v>
      </c>
      <c r="K11" s="13" t="n">
        <f aca="false">J11*$D11</f>
        <v>77670</v>
      </c>
      <c r="L11" s="13" t="n">
        <v>4155</v>
      </c>
      <c r="M11" s="13" t="n">
        <f aca="false">L11*$D11</f>
        <v>74790</v>
      </c>
      <c r="N11" s="13" t="n">
        <v>4275</v>
      </c>
      <c r="O11" s="13" t="n">
        <f aca="false">N11*$D11</f>
        <v>76950</v>
      </c>
    </row>
    <row r="12" customFormat="false" ht="35.05" hidden="false" customHeight="false" outlineLevel="0" collapsed="false">
      <c r="A12" s="9" t="n">
        <v>3</v>
      </c>
      <c r="B12" s="10" t="n">
        <v>9987</v>
      </c>
      <c r="C12" s="11" t="s">
        <v>25</v>
      </c>
      <c r="D12" s="12" t="n">
        <v>25</v>
      </c>
      <c r="E12" s="10" t="s">
        <v>23</v>
      </c>
      <c r="F12" s="13" t="n">
        <v>350</v>
      </c>
      <c r="G12" s="13" t="n">
        <f aca="false">F12*$D12</f>
        <v>8750</v>
      </c>
      <c r="H12" s="13" t="n">
        <v>340</v>
      </c>
      <c r="I12" s="13" t="n">
        <f aca="false">H12*$D12</f>
        <v>8500</v>
      </c>
      <c r="J12" s="13" t="n">
        <v>360</v>
      </c>
      <c r="K12" s="13" t="n">
        <f aca="false">J12*$D12</f>
        <v>9000</v>
      </c>
      <c r="L12" s="13" t="n">
        <v>345</v>
      </c>
      <c r="M12" s="13" t="n">
        <f aca="false">L12*$D12</f>
        <v>8625</v>
      </c>
      <c r="N12" s="13" t="n">
        <v>355</v>
      </c>
      <c r="O12" s="13" t="n">
        <f aca="false">N12*$D12</f>
        <v>8875</v>
      </c>
    </row>
    <row r="14" customFormat="false" ht="15" hidden="false" customHeight="false" outlineLevel="0" collapsed="false">
      <c r="A14" s="14" t="s">
        <v>26</v>
      </c>
      <c r="B14" s="15"/>
      <c r="C14" s="15"/>
      <c r="D14" s="15"/>
      <c r="E14" s="15"/>
      <c r="F14" s="15"/>
      <c r="G14" s="16" t="n">
        <f aca="false">SUM(G10:G12)</f>
        <v>156500</v>
      </c>
      <c r="H14" s="15"/>
      <c r="I14" s="16" t="n">
        <f aca="false">SUM(I10:I12)</f>
        <v>153615</v>
      </c>
      <c r="J14" s="15"/>
      <c r="K14" s="16" t="n">
        <f aca="false">SUM(K10:K12)</f>
        <v>159420</v>
      </c>
      <c r="L14" s="15"/>
      <c r="M14" s="16" t="n">
        <f aca="false">SUM(M10:M12)</f>
        <v>152540</v>
      </c>
      <c r="N14" s="15"/>
      <c r="O14" s="16" t="n">
        <f aca="false">SUM(O10:O12)</f>
        <v>157950</v>
      </c>
    </row>
    <row r="15" customFormat="false" ht="15" hidden="false" customHeight="false" outlineLevel="0" collapsed="false">
      <c r="A15" s="14" t="s">
        <v>27</v>
      </c>
      <c r="B15" s="15"/>
      <c r="C15" s="15"/>
      <c r="D15" s="15"/>
      <c r="E15" s="15"/>
      <c r="F15" s="17" t="n">
        <v>0.08</v>
      </c>
      <c r="G15" s="16" t="n">
        <f aca="false">F15*G14</f>
        <v>12520</v>
      </c>
      <c r="H15" s="17" t="n">
        <v>0.07</v>
      </c>
      <c r="I15" s="16" t="n">
        <f aca="false">H15*I14</f>
        <v>10753.05</v>
      </c>
      <c r="J15" s="17" t="n">
        <v>0.09</v>
      </c>
      <c r="K15" s="16" t="n">
        <f aca="false">J15*K14</f>
        <v>14347.8</v>
      </c>
      <c r="L15" s="17" t="n">
        <v>0.08</v>
      </c>
      <c r="M15" s="16" t="n">
        <f aca="false">L15*M14</f>
        <v>12203.2</v>
      </c>
      <c r="N15" s="17" t="n">
        <v>0.07</v>
      </c>
      <c r="O15" s="16" t="n">
        <f aca="false">N15*O14</f>
        <v>11056.5</v>
      </c>
    </row>
    <row r="16" customFormat="false" ht="23.85" hidden="false" customHeight="false" outlineLevel="0" collapsed="false">
      <c r="A16" s="14" t="s">
        <v>28</v>
      </c>
      <c r="B16" s="15"/>
      <c r="C16" s="15"/>
      <c r="D16" s="15"/>
      <c r="E16" s="15"/>
      <c r="F16" s="15"/>
      <c r="G16" s="16" t="n">
        <f aca="false">G14-G15</f>
        <v>143980</v>
      </c>
      <c r="H16" s="15"/>
      <c r="I16" s="16" t="n">
        <f aca="false">I14-I15</f>
        <v>142861.95</v>
      </c>
      <c r="J16" s="15"/>
      <c r="K16" s="16" t="n">
        <f aca="false">K14-K15</f>
        <v>145072.2</v>
      </c>
      <c r="L16" s="15"/>
      <c r="M16" s="16" t="n">
        <f aca="false">M14-M15</f>
        <v>140336.8</v>
      </c>
      <c r="N16" s="15"/>
      <c r="O16" s="16" t="n">
        <f aca="false">O14-O15</f>
        <v>146893.5</v>
      </c>
    </row>
    <row r="17" customFormat="false" ht="15" hidden="false" customHeight="false" outlineLevel="0" collapsed="false">
      <c r="A17" s="14" t="s">
        <v>29</v>
      </c>
      <c r="B17" s="15"/>
      <c r="C17" s="15"/>
      <c r="D17" s="15"/>
      <c r="E17" s="15"/>
      <c r="F17" s="17" t="n">
        <v>0.18</v>
      </c>
      <c r="G17" s="16" t="n">
        <f aca="false">F17*G16</f>
        <v>25916.4</v>
      </c>
      <c r="H17" s="17" t="n">
        <v>0.18</v>
      </c>
      <c r="I17" s="16" t="n">
        <f aca="false">H17*I16</f>
        <v>25715.151</v>
      </c>
      <c r="J17" s="17" t="n">
        <v>0.18</v>
      </c>
      <c r="K17" s="16" t="n">
        <f aca="false">J17*K16</f>
        <v>26112.996</v>
      </c>
      <c r="L17" s="17" t="n">
        <v>0.18</v>
      </c>
      <c r="M17" s="16" t="n">
        <f aca="false">L17*M16</f>
        <v>25260.624</v>
      </c>
      <c r="N17" s="17" t="n">
        <v>0.18</v>
      </c>
      <c r="O17" s="16" t="n">
        <f aca="false">N17*O16</f>
        <v>26440.83</v>
      </c>
    </row>
    <row r="18" customFormat="false" ht="26.85" hidden="false" customHeight="false" outlineLevel="0" collapsed="false">
      <c r="A18" s="18" t="s">
        <v>30</v>
      </c>
      <c r="B18" s="19"/>
      <c r="C18" s="19"/>
      <c r="D18" s="19"/>
      <c r="E18" s="19"/>
      <c r="F18" s="19"/>
      <c r="G18" s="20" t="n">
        <f aca="false">G16+G17</f>
        <v>169896.4</v>
      </c>
      <c r="H18" s="19"/>
      <c r="I18" s="20" t="n">
        <f aca="false">I16+I17</f>
        <v>168577.101</v>
      </c>
      <c r="J18" s="19"/>
      <c r="K18" s="20" t="n">
        <f aca="false">K16+K17</f>
        <v>171185.196</v>
      </c>
      <c r="L18" s="19"/>
      <c r="M18" s="20" t="n">
        <f aca="false">M16+M17</f>
        <v>165597.424</v>
      </c>
      <c r="N18" s="19"/>
      <c r="O18" s="20" t="n">
        <f aca="false">O16+O17</f>
        <v>173334.33</v>
      </c>
    </row>
    <row r="20" customFormat="false" ht="15" hidden="false" customHeight="false" outlineLevel="0" collapsed="false">
      <c r="A20" s="21" t="s">
        <v>31</v>
      </c>
      <c r="B20" s="2"/>
      <c r="C20" s="2"/>
      <c r="D20" s="2"/>
      <c r="E20" s="2"/>
      <c r="F20" s="10"/>
      <c r="G20" s="10"/>
      <c r="H20" s="10"/>
      <c r="I20" s="10"/>
      <c r="J20" s="10"/>
      <c r="K20" s="10"/>
      <c r="L20" s="10"/>
      <c r="M20" s="10"/>
      <c r="N20" s="10"/>
      <c r="O20" s="10"/>
    </row>
    <row r="21" customFormat="false" ht="15" hidden="false" customHeight="false" outlineLevel="0" collapsed="false">
      <c r="A21" s="21" t="s">
        <v>32</v>
      </c>
      <c r="B21" s="2"/>
      <c r="C21" s="2"/>
      <c r="D21" s="2"/>
      <c r="E21" s="2"/>
      <c r="F21" s="10"/>
      <c r="G21" s="10"/>
      <c r="H21" s="10"/>
      <c r="I21" s="10"/>
      <c r="J21" s="10"/>
      <c r="K21" s="10"/>
      <c r="L21" s="10"/>
      <c r="M21" s="10"/>
      <c r="N21" s="10"/>
      <c r="O21" s="10"/>
    </row>
    <row r="22" customFormat="false" ht="23.85" hidden="false" customHeight="false" outlineLevel="0" collapsed="false">
      <c r="A22" s="21" t="s">
        <v>33</v>
      </c>
      <c r="B22" s="2"/>
      <c r="C22" s="2"/>
      <c r="D22" s="2"/>
      <c r="E22" s="2"/>
      <c r="F22" s="10"/>
      <c r="G22" s="10"/>
      <c r="H22" s="10"/>
      <c r="I22" s="10"/>
      <c r="J22" s="10"/>
      <c r="K22" s="10"/>
      <c r="L22" s="10"/>
      <c r="M22" s="10"/>
      <c r="N22" s="10"/>
      <c r="O22" s="10"/>
    </row>
  </sheetData>
  <mergeCells count="6">
    <mergeCell ref="F7:G7"/>
    <mergeCell ref="H7:I7"/>
    <mergeCell ref="J7:K7"/>
    <mergeCell ref="L7:M7"/>
    <mergeCell ref="N7:O7"/>
    <mergeCell ref="C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2026-07-08T10:40:53Z</dcterms:created>
  <dc:creator>openpyxl</dc:creator>
  <dc:description/>
  <dc:language>en-US</dc:language>
  <cp:lastModifiedBy/>
  <dcterms:modified xsi:type="dcterms:W3CDTF">2026-07-08T10:40:53Z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