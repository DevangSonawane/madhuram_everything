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omparison"/>
  </sheets>
  <calcPr fullCalcOnLoad="1"/>
</workbook>
</file>

<file path=xl/sharedStrings.xml><?xml version="1.0" encoding="utf-8"?>
<sst xmlns="http://schemas.openxmlformats.org/spreadsheetml/2006/main" count="44" uniqueCount="34">
  <si>
    <t>Company Name:</t>
  </si>
  <si>
    <t>Madhuram Enterprises</t>
  </si>
  <si>
    <t>Project Name:</t>
  </si>
  <si>
    <t>Florencia B</t>
  </si>
  <si>
    <t>Indent No:</t>
  </si>
  <si>
    <t>Indent Date:</t>
  </si>
  <si>
    <t>Comparison Date:</t>
  </si>
  <si>
    <t>2026-08-07</t>
  </si>
  <si>
    <t>AquaFlow Industries</t>
  </si>
  <si>
    <t>Prime Sanitary Solutions</t>
  </si>
  <si>
    <t>Metro Plumbing Supplies</t>
  </si>
  <si>
    <t>Elite Bathware</t>
  </si>
  <si>
    <t>HydroTech Traders</t>
  </si>
  <si>
    <t>Sr. No.</t>
  </si>
  <si>
    <t>HSN Code</t>
  </si>
  <si>
    <t>Item Description</t>
  </si>
  <si>
    <t>Qty</t>
  </si>
  <si>
    <t>UOM</t>
  </si>
  <si>
    <t>Rate</t>
  </si>
  <si>
    <t>Amount</t>
  </si>
  <si>
    <t>A</t>
  </si>
  <si>
    <t>Sink &amp; Wall Mixer Taps  (optional category header — leave vendor cells on this row blank)</t>
  </si>
  <si>
    <t>T,C&amp;H of Single Lever Sink Tap</t>
  </si>
  <si>
    <t>Nos</t>
  </si>
  <si>
    <t>T,C&amp;H of Single Lever Wall Mixer</t>
  </si>
  <si>
    <t>Fixing of Single Lever Sink Tap, Testing &amp; Commissioning complete with all necessary fittings and making good.</t>
  </si>
  <si>
    <t>Subtotal</t>
  </si>
  <si>
    <t>Discount</t>
  </si>
  <si>
    <t>Net Amount</t>
  </si>
  <si>
    <t>GST</t>
  </si>
  <si>
    <t>Total Value</t>
  </si>
  <si>
    <t>Delivery</t>
  </si>
  <si>
    <t>Payment</t>
  </si>
  <si>
    <t>Transportation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</si>
</sst>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%"/>
  </numFmts>
  <fonts count="5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xfId="0" numFmtId="0" borderId="0" fontId="0" fillId="0"/>
    <xf xfId="0" numFmtId="1" applyNumberFormat="1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center"/>
    </xf>
    <xf xfId="0" numFmtId="4" applyNumberFormat="1" borderId="0" fontId="0" fillId="0" applyAlignment="1">
      <alignment horizontal="center"/>
    </xf>
    <xf xfId="0" numFmtId="1" applyNumberFormat="1" borderId="0" fontId="0" fillId="0" applyAlignment="1">
      <alignment horizontal="left"/>
    </xf>
    <xf xfId="0" numFmtId="1" applyNumberFormat="1" borderId="1" applyBorder="1" fontId="3" applyFont="1" fillId="2" applyFill="1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0" borderId="1" applyBorder="1" fontId="3" applyFont="1" fillId="2" applyFill="1" applyAlignment="1">
      <alignment horizontal="left"/>
    </xf>
    <xf xfId="0" numFmtId="164" applyNumberFormat="1" borderId="1" applyBorder="1" fontId="3" applyFont="1" fillId="2" applyFill="1" applyAlignment="1">
      <alignment horizontal="center"/>
    </xf>
    <xf xfId="0" numFmtId="4" applyNumberFormat="1" borderId="1" applyBorder="1" fontId="3" applyFont="1" fillId="2" applyFill="1" applyAlignment="1">
      <alignment horizontal="center"/>
    </xf>
    <xf xfId="0" numFmtId="1" applyNumberFormat="1" borderId="1" applyBorder="1" fontId="3" applyFont="1" fillId="3" applyFill="1" applyAlignment="1">
      <alignment horizontal="center"/>
    </xf>
    <xf xfId="0" numFmtId="3" applyNumberFormat="1" borderId="1" applyBorder="1" fontId="3" applyFont="1" fillId="3" applyFill="1" applyAlignment="1">
      <alignment horizontal="center"/>
    </xf>
    <xf xfId="0" numFmtId="0" borderId="1" applyBorder="1" fontId="3" applyFont="1" fillId="3" applyFill="1" applyAlignment="1">
      <alignment horizontal="center"/>
    </xf>
    <xf xfId="0" numFmtId="164" applyNumberFormat="1" borderId="1" applyBorder="1" fontId="3" applyFont="1" fillId="3" applyFill="1" applyAlignment="1">
      <alignment horizontal="center"/>
    </xf>
    <xf xfId="0" numFmtId="4" applyNumberFormat="1" borderId="1" applyBorder="1" fontId="3" applyFont="1" fillId="3" applyFill="1" applyAlignment="1">
      <alignment horizontal="center"/>
    </xf>
    <xf xfId="0" numFmtId="1" applyNumberFormat="1" borderId="1" applyBorder="1" fontId="1" applyFont="1" fillId="4" applyFill="1" applyAlignment="1">
      <alignment horizontal="center"/>
    </xf>
    <xf xfId="0" numFmtId="3" applyNumberFormat="1" borderId="1" applyBorder="1" fontId="1" applyFont="1" fillId="4" applyFill="1" applyAlignment="1">
      <alignment horizontal="left"/>
    </xf>
    <xf xfId="0" numFmtId="0" borderId="1" applyBorder="1" fontId="1" applyFont="1" fillId="4" applyFill="1" applyAlignment="1">
      <alignment horizontal="left"/>
    </xf>
    <xf xfId="0" numFmtId="164" applyNumberFormat="1" borderId="1" applyBorder="1" fontId="1" applyFont="1" fillId="4" applyFill="1" applyAlignment="1">
      <alignment horizontal="left"/>
    </xf>
    <xf xfId="0" numFmtId="4" applyNumberFormat="1" borderId="1" applyBorder="1" fontId="1" applyFont="1" fillId="4" applyFill="1" applyAlignment="1">
      <alignment horizontal="left"/>
    </xf>
    <xf xfId="0" numFmtId="1" applyNumberFormat="1" borderId="1" applyBorder="1" fontId="2" applyFont="1" fillId="0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0" borderId="1" applyBorder="1" fontId="2" applyFont="1" fillId="0" applyAlignment="1">
      <alignment horizontal="center"/>
    </xf>
    <xf xfId="0" numFmtId="4" applyNumberFormat="1" borderId="1" applyBorder="1" fontId="2" applyFont="1" fillId="0" applyAlignment="1">
      <alignment horizontal="center"/>
    </xf>
    <xf xfId="0" numFmtId="1" applyNumberFormat="1" borderId="1" applyBorder="1" fontId="1" applyFont="1" fillId="5" applyFill="1" applyAlignment="1">
      <alignment horizontal="left"/>
    </xf>
    <xf xfId="0" numFmtId="3" applyNumberFormat="1" borderId="1" applyBorder="1" fontId="1" applyFont="1" fillId="5" applyFill="1" applyAlignment="1">
      <alignment horizontal="left"/>
    </xf>
    <xf xfId="0" numFmtId="0" borderId="1" applyBorder="1" fontId="1" applyFont="1" fillId="5" applyFill="1" applyAlignment="1">
      <alignment horizontal="left"/>
    </xf>
    <xf xfId="0" numFmtId="164" applyNumberFormat="1" borderId="1" applyBorder="1" fontId="1" applyFont="1" fillId="5" applyFill="1" applyAlignment="1">
      <alignment horizontal="left"/>
    </xf>
    <xf xfId="0" numFmtId="4" applyNumberFormat="1" borderId="1" applyBorder="1" fontId="1" applyFont="1" fillId="5" applyFill="1" applyAlignment="1">
      <alignment horizontal="center"/>
    </xf>
    <xf xfId="0" numFmtId="164" applyNumberFormat="1" borderId="1" applyBorder="1" fontId="1" applyFont="1" fillId="5" applyFill="1" applyAlignment="1">
      <alignment horizontal="center"/>
    </xf>
    <xf xfId="0" numFmtId="1" applyNumberFormat="1" borderId="1" applyBorder="1" fontId="4" applyFont="1" fillId="6" applyFill="1" applyAlignment="1">
      <alignment horizontal="left"/>
    </xf>
    <xf xfId="0" numFmtId="3" applyNumberFormat="1" borderId="1" applyBorder="1" fontId="4" applyFont="1" fillId="6" applyFill="1" applyAlignment="1">
      <alignment horizontal="left"/>
    </xf>
    <xf xfId="0" numFmtId="0" borderId="1" applyBorder="1" fontId="4" applyFont="1" fillId="6" applyFill="1" applyAlignment="1">
      <alignment horizontal="left"/>
    </xf>
    <xf xfId="0" numFmtId="164" applyNumberFormat="1" borderId="1" applyBorder="1" fontId="4" applyFont="1" fillId="6" applyFill="1" applyAlignment="1">
      <alignment horizontal="left"/>
    </xf>
    <xf xfId="0" numFmtId="4" applyNumberFormat="1" borderId="1" applyBorder="1" fontId="4" applyFont="1" fillId="6" applyFill="1" applyAlignment="1">
      <alignment horizontal="center"/>
    </xf>
    <xf xfId="0" numFmtId="164" applyNumberFormat="1" borderId="1" applyBorder="1" fontId="2" applyFont="1" fillId="0" applyAlignment="1">
      <alignment horizontal="center"/>
    </xf>
    <xf xfId="0" numFmtId="1" applyNumberFormat="1" borderId="0" fontId="0" fillId="0" applyAlignment="1">
      <alignment horizontal="lef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center"/>
    </xf>
    <xf xfId="0" numFmtId="4" applyNumberFormat="1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22"/>
  <sheetViews>
    <sheetView workbookViewId="0" tabSelected="1">
      <pane state="frozen" activePane="bottomLeft" topLeftCell="A9" ySplit="8" xSplit="0"/>
    </sheetView>
  </sheetViews>
  <sheetFormatPr defaultRowHeight="15" x14ac:dyDescent="0.25"/>
  <cols>
    <col min="1" max="1" style="40" width="9.005" customWidth="1" bestFit="1"/>
    <col min="2" max="2" style="41" width="22.005" customWidth="1" bestFit="1"/>
    <col min="3" max="3" style="42" width="34.005" customWidth="1" bestFit="1"/>
    <col min="4" max="4" style="41" width="8.005" customWidth="1" bestFit="1"/>
    <col min="5" max="5" style="42" width="8.005" customWidth="1" bestFit="1"/>
    <col min="6" max="6" style="43" width="12.005" customWidth="1" bestFit="1"/>
    <col min="7" max="7" style="44" width="13.005" customWidth="1" bestFit="1"/>
    <col min="8" max="8" style="43" width="12.005" customWidth="1" bestFit="1"/>
    <col min="9" max="9" style="44" width="13.005" customWidth="1" bestFit="1"/>
    <col min="10" max="10" style="43" width="12.005" customWidth="1" bestFit="1"/>
    <col min="11" max="11" style="44" width="13.005" customWidth="1" bestFit="1"/>
    <col min="12" max="12" style="43" width="12.005" customWidth="1" bestFit="1"/>
    <col min="13" max="13" style="44" width="13.005" customWidth="1" bestFit="1"/>
    <col min="14" max="14" style="43" width="12.005" customWidth="1" bestFit="1"/>
    <col min="15" max="15" style="44" width="13.005" customWidth="1" bestFit="1"/>
  </cols>
  <sheetData>
    <row x14ac:dyDescent="0.25" r="1" customHeight="1" ht="17.25">
      <c r="A1" s="1" t="s">
        <v>0</v>
      </c>
      <c r="B1" s="2" t="s">
        <v>1</v>
      </c>
      <c r="C1" s="3"/>
      <c r="D1" s="4"/>
      <c r="E1" s="3"/>
      <c r="F1" s="5"/>
      <c r="G1" s="6"/>
      <c r="H1" s="5"/>
      <c r="I1" s="6"/>
      <c r="J1" s="5"/>
      <c r="K1" s="6"/>
      <c r="L1" s="5"/>
      <c r="M1" s="6"/>
      <c r="N1" s="5"/>
      <c r="O1" s="6"/>
    </row>
    <row x14ac:dyDescent="0.25" r="2" customHeight="1" ht="17.25">
      <c r="A2" s="1" t="s">
        <v>2</v>
      </c>
      <c r="B2" s="2" t="s">
        <v>3</v>
      </c>
      <c r="C2" s="3"/>
      <c r="D2" s="4"/>
      <c r="E2" s="3"/>
      <c r="F2" s="5"/>
      <c r="G2" s="6"/>
      <c r="H2" s="5"/>
      <c r="I2" s="6"/>
      <c r="J2" s="5"/>
      <c r="K2" s="6"/>
      <c r="L2" s="5"/>
      <c r="M2" s="6"/>
      <c r="N2" s="5"/>
      <c r="O2" s="6"/>
    </row>
    <row x14ac:dyDescent="0.25" r="3" customHeight="1" ht="17.25">
      <c r="A3" s="1" t="s">
        <v>4</v>
      </c>
      <c r="B3" s="2"/>
      <c r="C3" s="3"/>
      <c r="D3" s="4"/>
      <c r="E3" s="3"/>
      <c r="F3" s="5"/>
      <c r="G3" s="6"/>
      <c r="H3" s="5"/>
      <c r="I3" s="6"/>
      <c r="J3" s="5"/>
      <c r="K3" s="6"/>
      <c r="L3" s="5"/>
      <c r="M3" s="6"/>
      <c r="N3" s="5"/>
      <c r="O3" s="6"/>
    </row>
    <row x14ac:dyDescent="0.25" r="4" customHeight="1" ht="17.25">
      <c r="A4" s="1" t="s">
        <v>5</v>
      </c>
      <c r="B4" s="2"/>
      <c r="C4" s="3"/>
      <c r="D4" s="4"/>
      <c r="E4" s="3"/>
      <c r="F4" s="5"/>
      <c r="G4" s="6"/>
      <c r="H4" s="5"/>
      <c r="I4" s="6"/>
      <c r="J4" s="5"/>
      <c r="K4" s="6"/>
      <c r="L4" s="5"/>
      <c r="M4" s="6"/>
      <c r="N4" s="5"/>
      <c r="O4" s="6"/>
    </row>
    <row x14ac:dyDescent="0.25" r="5" customHeight="1" ht="17.25">
      <c r="A5" s="1" t="s">
        <v>6</v>
      </c>
      <c r="B5" s="2" t="s">
        <v>7</v>
      </c>
      <c r="C5" s="3"/>
      <c r="D5" s="4"/>
      <c r="E5" s="3"/>
      <c r="F5" s="5"/>
      <c r="G5" s="6"/>
      <c r="H5" s="5"/>
      <c r="I5" s="6"/>
      <c r="J5" s="5"/>
      <c r="K5" s="6"/>
      <c r="L5" s="5"/>
      <c r="M5" s="6"/>
      <c r="N5" s="5"/>
      <c r="O5" s="6"/>
    </row>
    <row x14ac:dyDescent="0.25" r="6" customHeight="1" ht="17.25">
      <c r="A6" s="7"/>
      <c r="B6" s="4"/>
      <c r="C6" s="3"/>
      <c r="D6" s="4"/>
      <c r="E6" s="3"/>
      <c r="F6" s="5"/>
      <c r="G6" s="6"/>
      <c r="H6" s="5"/>
      <c r="I6" s="6"/>
      <c r="J6" s="5"/>
      <c r="K6" s="6"/>
      <c r="L6" s="5"/>
      <c r="M6" s="6"/>
      <c r="N6" s="5"/>
      <c r="O6" s="6"/>
    </row>
    <row x14ac:dyDescent="0.25" r="7" customHeight="1" ht="17.25">
      <c r="A7" s="8"/>
      <c r="B7" s="9"/>
      <c r="C7" s="10"/>
      <c r="D7" s="9"/>
      <c r="E7" s="10"/>
      <c r="F7" s="11" t="s">
        <v>8</v>
      </c>
      <c r="G7" s="12"/>
      <c r="H7" s="11" t="s">
        <v>9</v>
      </c>
      <c r="I7" s="12"/>
      <c r="J7" s="11" t="s">
        <v>10</v>
      </c>
      <c r="K7" s="12"/>
      <c r="L7" s="11" t="s">
        <v>11</v>
      </c>
      <c r="M7" s="12"/>
      <c r="N7" s="11" t="s">
        <v>12</v>
      </c>
      <c r="O7" s="12"/>
    </row>
    <row x14ac:dyDescent="0.25" r="8" customHeight="1" ht="17.25">
      <c r="A8" s="13" t="s">
        <v>13</v>
      </c>
      <c r="B8" s="14" t="s">
        <v>14</v>
      </c>
      <c r="C8" s="15" t="s">
        <v>15</v>
      </c>
      <c r="D8" s="14" t="s">
        <v>16</v>
      </c>
      <c r="E8" s="15" t="s">
        <v>17</v>
      </c>
      <c r="F8" s="16" t="s">
        <v>18</v>
      </c>
      <c r="G8" s="17" t="s">
        <v>19</v>
      </c>
      <c r="H8" s="16" t="s">
        <v>18</v>
      </c>
      <c r="I8" s="17" t="s">
        <v>19</v>
      </c>
      <c r="J8" s="16" t="s">
        <v>18</v>
      </c>
      <c r="K8" s="17" t="s">
        <v>19</v>
      </c>
      <c r="L8" s="16" t="s">
        <v>18</v>
      </c>
      <c r="M8" s="17" t="s">
        <v>19</v>
      </c>
      <c r="N8" s="16" t="s">
        <v>18</v>
      </c>
      <c r="O8" s="17" t="s">
        <v>19</v>
      </c>
    </row>
    <row x14ac:dyDescent="0.25" r="9" customHeight="1" ht="17.25">
      <c r="A9" s="18" t="s">
        <v>20</v>
      </c>
      <c r="B9" s="19"/>
      <c r="C9" s="20" t="s">
        <v>21</v>
      </c>
      <c r="D9" s="19"/>
      <c r="E9" s="20"/>
      <c r="F9" s="21"/>
      <c r="G9" s="22"/>
      <c r="H9" s="21"/>
      <c r="I9" s="22"/>
      <c r="J9" s="21"/>
      <c r="K9" s="22"/>
      <c r="L9" s="21"/>
      <c r="M9" s="22"/>
      <c r="N9" s="21"/>
      <c r="O9" s="22"/>
    </row>
    <row x14ac:dyDescent="0.25" r="10" customHeight="1" ht="17.25">
      <c r="A10" s="23">
        <v>1</v>
      </c>
      <c r="B10" s="24">
        <v>8481</v>
      </c>
      <c r="C10" s="25" t="s">
        <v>22</v>
      </c>
      <c r="D10" s="24">
        <v>25</v>
      </c>
      <c r="E10" s="26" t="s">
        <v>23</v>
      </c>
      <c r="F10" s="27">
        <v>2850</v>
      </c>
      <c r="G10" s="27">
        <f>F10*$D10</f>
      </c>
      <c r="H10" s="27">
        <v>2795</v>
      </c>
      <c r="I10" s="27">
        <f>H10*$D10</f>
      </c>
      <c r="J10" s="27">
        <v>2910</v>
      </c>
      <c r="K10" s="27">
        <f>J10*$D10</f>
      </c>
      <c r="L10" s="27">
        <v>2765</v>
      </c>
      <c r="M10" s="27">
        <f>L10*$D10</f>
      </c>
      <c r="N10" s="27">
        <v>2885</v>
      </c>
      <c r="O10" s="27">
        <f>N10*$D10</f>
      </c>
    </row>
    <row x14ac:dyDescent="0.25" r="11" customHeight="1" ht="17.25">
      <c r="A11" s="23">
        <v>2</v>
      </c>
      <c r="B11" s="24">
        <v>8481</v>
      </c>
      <c r="C11" s="25" t="s">
        <v>24</v>
      </c>
      <c r="D11" s="24">
        <v>18</v>
      </c>
      <c r="E11" s="26" t="s">
        <v>23</v>
      </c>
      <c r="F11" s="27">
        <v>4250</v>
      </c>
      <c r="G11" s="27">
        <f>F11*$D11</f>
      </c>
      <c r="H11" s="27">
        <v>4180</v>
      </c>
      <c r="I11" s="27">
        <f>H11*$D11</f>
      </c>
      <c r="J11" s="27">
        <v>4315</v>
      </c>
      <c r="K11" s="27">
        <f>J11*$D11</f>
      </c>
      <c r="L11" s="27">
        <v>4155</v>
      </c>
      <c r="M11" s="27">
        <f>L11*$D11</f>
      </c>
      <c r="N11" s="27">
        <v>4275</v>
      </c>
      <c r="O11" s="27">
        <f>N11*$D11</f>
      </c>
    </row>
    <row x14ac:dyDescent="0.25" r="12" customHeight="1" ht="18.75">
      <c r="A12" s="23">
        <v>3</v>
      </c>
      <c r="B12" s="24">
        <v>9987</v>
      </c>
      <c r="C12" s="25" t="s">
        <v>25</v>
      </c>
      <c r="D12" s="24">
        <v>25</v>
      </c>
      <c r="E12" s="26" t="s">
        <v>23</v>
      </c>
      <c r="F12" s="27">
        <v>350</v>
      </c>
      <c r="G12" s="27">
        <f>F12*$D12</f>
      </c>
      <c r="H12" s="27">
        <v>340</v>
      </c>
      <c r="I12" s="27">
        <f>H12*$D12</f>
      </c>
      <c r="J12" s="27">
        <v>360</v>
      </c>
      <c r="K12" s="27">
        <f>J12*$D12</f>
      </c>
      <c r="L12" s="27">
        <v>345</v>
      </c>
      <c r="M12" s="27">
        <f>L12*$D12</f>
      </c>
      <c r="N12" s="27">
        <v>355</v>
      </c>
      <c r="O12" s="27">
        <f>N12*$D12</f>
      </c>
    </row>
    <row x14ac:dyDescent="0.25" r="13" customHeight="1" ht="17.25">
      <c r="A13" s="7"/>
      <c r="B13" s="4"/>
      <c r="C13" s="3"/>
      <c r="D13" s="4"/>
      <c r="E13" s="3"/>
      <c r="F13" s="5"/>
      <c r="G13" s="6"/>
      <c r="H13" s="5"/>
      <c r="I13" s="6"/>
      <c r="J13" s="5"/>
      <c r="K13" s="6"/>
      <c r="L13" s="5"/>
      <c r="M13" s="6"/>
      <c r="N13" s="5"/>
      <c r="O13" s="6"/>
    </row>
    <row x14ac:dyDescent="0.25" r="14" customHeight="1" ht="18">
      <c r="A14" s="28" t="s">
        <v>26</v>
      </c>
      <c r="B14" s="29"/>
      <c r="C14" s="30"/>
      <c r="D14" s="29"/>
      <c r="E14" s="30"/>
      <c r="F14" s="31"/>
      <c r="G14" s="32">
        <f>SUM(G10:G12)</f>
      </c>
      <c r="H14" s="31"/>
      <c r="I14" s="32">
        <f>SUM(I10:I12)</f>
      </c>
      <c r="J14" s="31"/>
      <c r="K14" s="32">
        <f>SUM(K10:K12)</f>
      </c>
      <c r="L14" s="31"/>
      <c r="M14" s="32">
        <f>SUM(M10:M12)</f>
      </c>
      <c r="N14" s="31"/>
      <c r="O14" s="32">
        <f>SUM(O10:O12)</f>
      </c>
    </row>
    <row x14ac:dyDescent="0.25" r="15" customHeight="1" ht="18">
      <c r="A15" s="28" t="s">
        <v>27</v>
      </c>
      <c r="B15" s="29"/>
      <c r="C15" s="30"/>
      <c r="D15" s="29"/>
      <c r="E15" s="30"/>
      <c r="F15" s="33">
        <v>0.08</v>
      </c>
      <c r="G15" s="32">
        <f>F15*G14</f>
      </c>
      <c r="H15" s="33">
        <v>0.07</v>
      </c>
      <c r="I15" s="32">
        <f>H15*I14</f>
      </c>
      <c r="J15" s="33">
        <v>0.09</v>
      </c>
      <c r="K15" s="32">
        <f>J15*K14</f>
      </c>
      <c r="L15" s="33">
        <v>0.08</v>
      </c>
      <c r="M15" s="32">
        <f>L15*M14</f>
      </c>
      <c r="N15" s="33">
        <v>0.07</v>
      </c>
      <c r="O15" s="32">
        <f>N15*O14</f>
      </c>
    </row>
    <row x14ac:dyDescent="0.25" r="16" customHeight="1" ht="18">
      <c r="A16" s="28" t="s">
        <v>28</v>
      </c>
      <c r="B16" s="29"/>
      <c r="C16" s="30"/>
      <c r="D16" s="29"/>
      <c r="E16" s="30"/>
      <c r="F16" s="31"/>
      <c r="G16" s="32">
        <f>G14-G15</f>
      </c>
      <c r="H16" s="31"/>
      <c r="I16" s="32">
        <f>I14-I15</f>
      </c>
      <c r="J16" s="31"/>
      <c r="K16" s="32">
        <f>K14-K15</f>
      </c>
      <c r="L16" s="31"/>
      <c r="M16" s="32">
        <f>M14-M15</f>
      </c>
      <c r="N16" s="31"/>
      <c r="O16" s="32">
        <f>O14-O15</f>
      </c>
    </row>
    <row x14ac:dyDescent="0.25" r="17" customHeight="1" ht="17.25">
      <c r="A17" s="28" t="s">
        <v>29</v>
      </c>
      <c r="B17" s="29"/>
      <c r="C17" s="30"/>
      <c r="D17" s="29"/>
      <c r="E17" s="30"/>
      <c r="F17" s="33">
        <v>0.18</v>
      </c>
      <c r="G17" s="32">
        <f>F17*G16</f>
      </c>
      <c r="H17" s="33">
        <v>0.18</v>
      </c>
      <c r="I17" s="32">
        <f>H17*I16</f>
      </c>
      <c r="J17" s="33">
        <v>0.18</v>
      </c>
      <c r="K17" s="32">
        <f>J17*K16</f>
      </c>
      <c r="L17" s="33">
        <v>0.18</v>
      </c>
      <c r="M17" s="32">
        <f>L17*M16</f>
      </c>
      <c r="N17" s="33">
        <v>0.18</v>
      </c>
      <c r="O17" s="32">
        <f>N17*O16</f>
      </c>
    </row>
    <row x14ac:dyDescent="0.25" r="18" customHeight="1" ht="17.25">
      <c r="A18" s="34" t="s">
        <v>30</v>
      </c>
      <c r="B18" s="35"/>
      <c r="C18" s="36"/>
      <c r="D18" s="35"/>
      <c r="E18" s="36"/>
      <c r="F18" s="37"/>
      <c r="G18" s="38">
        <f>G16+G17</f>
      </c>
      <c r="H18" s="37"/>
      <c r="I18" s="38">
        <f>I16+I17</f>
      </c>
      <c r="J18" s="37"/>
      <c r="K18" s="38">
        <f>K16+K17</f>
      </c>
      <c r="L18" s="37"/>
      <c r="M18" s="38">
        <f>M16+M17</f>
      </c>
      <c r="N18" s="37"/>
      <c r="O18" s="38">
        <f>O16+O17</f>
      </c>
    </row>
    <row x14ac:dyDescent="0.25" r="19" customHeight="1" ht="17.25">
      <c r="A19" s="7"/>
      <c r="B19" s="4"/>
      <c r="C19" s="3"/>
      <c r="D19" s="4"/>
      <c r="E19" s="3"/>
      <c r="F19" s="5"/>
      <c r="G19" s="6"/>
      <c r="H19" s="5"/>
      <c r="I19" s="6"/>
      <c r="J19" s="5"/>
      <c r="K19" s="6"/>
      <c r="L19" s="5"/>
      <c r="M19" s="6"/>
      <c r="N19" s="5"/>
      <c r="O19" s="6"/>
    </row>
    <row x14ac:dyDescent="0.25" r="20" customHeight="1" ht="17.25">
      <c r="A20" s="1" t="s">
        <v>31</v>
      </c>
      <c r="B20" s="2"/>
      <c r="C20" s="25"/>
      <c r="D20" s="2"/>
      <c r="E20" s="25"/>
      <c r="F20" s="39"/>
      <c r="G20" s="27"/>
      <c r="H20" s="39"/>
      <c r="I20" s="27"/>
      <c r="J20" s="39"/>
      <c r="K20" s="27"/>
      <c r="L20" s="39"/>
      <c r="M20" s="27"/>
      <c r="N20" s="39"/>
      <c r="O20" s="27"/>
    </row>
    <row x14ac:dyDescent="0.25" r="21" customHeight="1" ht="17.25">
      <c r="A21" s="1" t="s">
        <v>32</v>
      </c>
      <c r="B21" s="2"/>
      <c r="C21" s="25"/>
      <c r="D21" s="2"/>
      <c r="E21" s="25"/>
      <c r="F21" s="39"/>
      <c r="G21" s="27"/>
      <c r="H21" s="39"/>
      <c r="I21" s="27"/>
      <c r="J21" s="39"/>
      <c r="K21" s="27"/>
      <c r="L21" s="39"/>
      <c r="M21" s="27"/>
      <c r="N21" s="39"/>
      <c r="O21" s="27"/>
    </row>
    <row x14ac:dyDescent="0.25" r="22" customHeight="1" ht="17.25">
      <c r="A22" s="1" t="s">
        <v>33</v>
      </c>
      <c r="B22" s="2"/>
      <c r="C22" s="25"/>
      <c r="D22" s="2"/>
      <c r="E22" s="25"/>
      <c r="F22" s="39"/>
      <c r="G22" s="27"/>
      <c r="H22" s="39"/>
      <c r="I22" s="27"/>
      <c r="J22" s="39"/>
      <c r="K22" s="27"/>
      <c r="L22" s="39"/>
      <c r="M22" s="27"/>
      <c r="N22" s="39"/>
      <c r="O22" s="27"/>
    </row>
  </sheetData>
  <mergeCells count="6">
    <mergeCell ref="F7:G7"/>
    <mergeCell ref="H7:I7"/>
    <mergeCell ref="J7:K7"/>
    <mergeCell ref="L7:M7"/>
    <mergeCell ref="N7:O7"/>
    <mergeCell ref="C9:E9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Comparison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2026-07-09T08:22:00.547Z</dcterms:created>
  <dcterms:modified xsi:type="dcterms:W3CDTF">2026-07-09T08:22:00.547Z</dcterms:modified>
</cp:coreProperties>
</file>